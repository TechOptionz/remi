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Keyob\remi\docs\"/>
    </mc:Choice>
  </mc:AlternateContent>
  <xr:revisionPtr revIDLastSave="0" documentId="11_645AE45DABF83AF351774956594E365941BDB670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itial Scope" sheetId="1" r:id="rId1"/>
    <sheet name="After Delivery" sheetId="2" r:id="rId2"/>
    <sheet name="Integrations" sheetId="3" r:id="rId3"/>
  </sheets>
  <definedNames>
    <definedName name="_xlnm._FilterDatabase" localSheetId="1" hidden="1">'After Delivery'!$A$4:$F$99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7" i="2" l="1"/>
  <c r="D23" i="1" s="1"/>
  <c r="C106" i="2"/>
  <c r="C105" i="2"/>
  <c r="D22" i="1" s="1"/>
  <c r="C104" i="2"/>
  <c r="C103" i="2"/>
  <c r="D21" i="1" s="1"/>
  <c r="C102" i="2"/>
  <c r="D20" i="1" s="1"/>
</calcChain>
</file>

<file path=xl/sharedStrings.xml><?xml version="1.0" encoding="utf-8"?>
<sst xmlns="http://schemas.openxmlformats.org/spreadsheetml/2006/main" count="603" uniqueCount="315">
  <si>
    <t>Pages After Going Live</t>
  </si>
  <si>
    <t>Every live page on https://www.remipearson.com as listed in the sitemap at go-live (Oct 2026), plus integrations. Click a URL to open the page.</t>
  </si>
  <si>
    <t>#</t>
  </si>
  <si>
    <t>Area</t>
  </si>
  <si>
    <t>Live URL</t>
  </si>
  <si>
    <t>Page</t>
  </si>
  <si>
    <t>What was delivered</t>
  </si>
  <si>
    <t>Status</t>
  </si>
  <si>
    <t>Core pages</t>
  </si>
  <si>
    <t>Core page</t>
  </si>
  <si>
    <t>https://www.remipearson.com/perspectives</t>
  </si>
  <si>
    <t>Perspectives</t>
  </si>
  <si>
    <t>Designed from Remi's mockup and info file from Drive</t>
  </si>
  <si>
    <t>Live</t>
  </si>
  <si>
    <t>https://www.remipearson.com/reviews</t>
  </si>
  <si>
    <t>Reviews: What People Say About Learning with Remi Pearson</t>
  </si>
  <si>
    <t>https://www.remipearson.com/subscribe</t>
  </si>
  <si>
    <t>Let Truth Lead: Free Fortnightly Newsletter</t>
  </si>
  <si>
    <t>https://www.remipearson.com/privacy-policy</t>
  </si>
  <si>
    <t>Privacy Policy</t>
  </si>
  <si>
    <t>Privacy policy</t>
  </si>
  <si>
    <t>Ideas &amp; Models</t>
  </si>
  <si>
    <t>Ideas &amp; Models chapter</t>
  </si>
  <si>
    <t>https://www.remipearson.com/ideas-models/self-esteem-triad</t>
  </si>
  <si>
    <t>How Do You Build Self-Esteem That Lasts? The Self-Esteem Triad</t>
  </si>
  <si>
    <t>https://www.remipearson.com/ideas-models/safe-problems-risky-truths</t>
  </si>
  <si>
    <t>Why Do We Keep Trying to Solve the Same Problem? Safe Problems, Risky Truths</t>
  </si>
  <si>
    <t>https://www.remipearson.com/ideas-models/deep-state-repatterning</t>
  </si>
  <si>
    <t>Why Does the Past Still Affect You When You Know It’s Over? Deep State Repatterning</t>
  </si>
  <si>
    <t>https://www.remipearson.com/ideas-models/emotion-integration-technique</t>
  </si>
  <si>
    <t>Why Can’t I Feel My Emotions Even When I Understand Myself? Emotion Integration Technique</t>
  </si>
  <si>
    <t>https://www.remipearson.com/ideas-models/values-alignment-technique</t>
  </si>
  <si>
    <t>Values Alignment Technique</t>
  </si>
  <si>
    <t>https://www.remipearson.com/ideas-models/critical-alignment-model</t>
  </si>
  <si>
    <t>The Critical Alignment Model</t>
  </si>
  <si>
    <t>https://www.remipearson.com/ideas-models/critical-alignment-model/mini-profiler</t>
  </si>
  <si>
    <t>The CAM Mini Profiler</t>
  </si>
  <si>
    <t>https://www.remipearson.com/ideas-models/disruptive-leadership</t>
  </si>
  <si>
    <t>Disruptive Leadership</t>
  </si>
  <si>
    <t>https://www.remipearson.com/ideas-models/first-90-days</t>
  </si>
  <si>
    <t>Your First 90 Days as a Leader</t>
  </si>
  <si>
    <t>https://www.remipearson.com/ideas-models/ultimate-influence</t>
  </si>
  <si>
    <t>Consultative Sales: How to Know When You and a Buyer Are the Right Match</t>
  </si>
  <si>
    <t>Rabbit-hole pages</t>
  </si>
  <si>
    <t>Rabbit hole</t>
  </si>
  <si>
    <t>https://www.remipearson.com/i-know-better</t>
  </si>
  <si>
    <t>I Know Better. Why Do I Still Keep Doing This?</t>
  </si>
  <si>
    <t>https://www.remipearson.com/loving-someone</t>
  </si>
  <si>
    <t>Why Does Loving Someone Bring All My Shit to the Surface?</t>
  </si>
  <si>
    <t>https://www.remipearson.com/tell-me-the-truth</t>
  </si>
  <si>
    <t>Tell Me the Truth. What Am I Not Seeing?</t>
  </si>
  <si>
    <t>https://www.remipearson.com/leadership</t>
  </si>
  <si>
    <t>How Do I Lead Without Carrying Everybody?</t>
  </si>
  <si>
    <t>https://www.remipearson.com/ultimate-influence</t>
  </si>
  <si>
    <t>How Do I Sell Without Scripts, Pressure or Bullshit? Ultimate Influence</t>
  </si>
  <si>
    <t>https://www.remipearson.com/build-an-asset</t>
  </si>
  <si>
    <t>I’ve Built Myself a Job. How Do I Build an Asset?</t>
  </si>
  <si>
    <t>Programs</t>
  </si>
  <si>
    <t>https://www.remipearson.com/programs</t>
  </si>
  <si>
    <t>https://www.remipearson.com/programs/rebel-yell</t>
  </si>
  <si>
    <t>Rebel Yell</t>
  </si>
  <si>
    <t>https://www.remipearson.com/programs/the-shift</t>
  </si>
  <si>
    <t>The Shift</t>
  </si>
  <si>
    <t>Placeholder waiting for Remi</t>
  </si>
  <si>
    <t>Placeholder Page</t>
  </si>
  <si>
    <t>Programs &amp; products</t>
  </si>
  <si>
    <t>Products</t>
  </si>
  <si>
    <t>https://www.remipearson.com/products</t>
  </si>
  <si>
    <t>Product — sales page</t>
  </si>
  <si>
    <t>https://www.remipearson.com/products/self-esteem-triad</t>
  </si>
  <si>
    <t>The Self-Esteem Triad</t>
  </si>
  <si>
    <t>https://www.remipearson.com/products/becoming-conscious</t>
  </si>
  <si>
    <t>Becoming Conscious: A Gentle Introduction to Presence</t>
  </si>
  <si>
    <t>https://www.remipearson.com/products/self-regulation-when-it-matters</t>
  </si>
  <si>
    <t>Self-Regulation When It Matters</t>
  </si>
  <si>
    <t>https://www.remipearson.com/products/deep-state-repatterning</t>
  </si>
  <si>
    <t>Deep State Repatterning™</t>
  </si>
  <si>
    <t>https://www.remipearson.com/products/emotion-integration-technique-foundations</t>
  </si>
  <si>
    <t>Emotion Integration Technique (EIT) Foundations</t>
  </si>
  <si>
    <t>https://www.remipearson.com/products/five-paths-to-a-healthy-relationship</t>
  </si>
  <si>
    <t>The Five Paths to a Healthy Relationship</t>
  </si>
  <si>
    <t>https://www.remipearson.com/products/finding-our-way-back</t>
  </si>
  <si>
    <t>Finding Our Way Back: Repair After Conflict</t>
  </si>
  <si>
    <t>https://www.remipearson.com/products/holding-space-without-rescuing-or-disappearing</t>
  </si>
  <si>
    <t>Holding Space Without Rescuing or Disappearing</t>
  </si>
  <si>
    <t>https://www.remipearson.com/products/obstacles-to-love</t>
  </si>
  <si>
    <t>Obstacles to Love: Why You Keep Ending Up Hurt, Guarded or Alone</t>
  </si>
  <si>
    <t>https://www.remipearson.com/products/the-performance-management-blueprint</t>
  </si>
  <si>
    <t>The Performance Management Blueprint</t>
  </si>
  <si>
    <t>https://www.remipearson.com/products/the-90-day-review</t>
  </si>
  <si>
    <t>The 90-Day Review &amp; Personal Success Plan</t>
  </si>
  <si>
    <t>https://www.remipearson.com/products/benchmarking-what-good-actually-looks-like</t>
  </si>
  <si>
    <t>Benchmarking: What Good Actually Looks Like</t>
  </si>
  <si>
    <t>https://www.remipearson.com/products/ultimate-influence-consultative-sales-introduction</t>
  </si>
  <si>
    <t>Ultimate Influence: Consultative Sales Training</t>
  </si>
  <si>
    <t>https://www.remipearson.com/products/ultimate-influence-foundations</t>
  </si>
  <si>
    <t>Ultimate Influence Foundations: Consultative Sales Introduction</t>
  </si>
  <si>
    <t>https://www.remipearson.com/products/selling-from-stage</t>
  </si>
  <si>
    <t>Selling from Stage: The Eight-Step Pitch Method</t>
  </si>
  <si>
    <t>https://www.remipearson.com/products/selling-from-stage-fundamentals</t>
  </si>
  <si>
    <t>Selling from Stage Fundamentals: The Eight-Step Pitch</t>
  </si>
  <si>
    <t>https://www.remipearson.com/products/from-practice-to-enterprise</t>
  </si>
  <si>
    <t>Technician to Entrepreneur: Build a Business Beyond You</t>
  </si>
  <si>
    <t>https://www.remipearson.com/products/trust-that-holds</t>
  </si>
  <si>
    <t>Trust That Holds: The T.R.U.S.T.M.E. Program</t>
  </si>
  <si>
    <t>https://www.remipearson.com/products/critical-alignment-model-for-leaders</t>
  </si>
  <si>
    <t>Critical Alignment Model for Leaders</t>
  </si>
  <si>
    <t>Bundle — sales page</t>
  </si>
  <si>
    <t>https://www.remipearson.com/products/come-back-to-yourself</t>
  </si>
  <si>
    <t>Come Back to Yourself: Five Self-Paced Programs</t>
  </si>
  <si>
    <t>https://www.remipearson.com/products/build-beyond-the-founder</t>
  </si>
  <si>
    <t>Build Beyond the Founder: Three Programs for Business Owners</t>
  </si>
  <si>
    <t>Free series</t>
  </si>
  <si>
    <t>https://www.remipearson.com/products/why-do-i-keep-doing-this</t>
  </si>
  <si>
    <t>Why Do I Keep Doing This? Free Video Series</t>
  </si>
  <si>
    <t>https://www.remipearson.com/products/attachment-or-love</t>
  </si>
  <si>
    <t>Attachment or Love? Free Three-Video Series</t>
  </si>
  <si>
    <t>Free program</t>
  </si>
  <si>
    <t>https://www.remipearson.com/products/disruptive-leadership</t>
  </si>
  <si>
    <t>Disruptive Leadership: Free Introductory Program</t>
  </si>
  <si>
    <t>https://www.remipearson.com/products/holding-space-for-magnetic-sales</t>
  </si>
  <si>
    <t>Holding Space for Magnetic Sales: Free Sales Introduction</t>
  </si>
  <si>
    <t>https://www.remipearson.com/products/core-improve-innovate</t>
  </si>
  <si>
    <t>Core, Improve, Innovate: Free Program for Business Owners</t>
  </si>
  <si>
    <t>Product — catalogue page</t>
  </si>
  <si>
    <t>https://www.remipearson.com/products/love-without-losing-yourself</t>
  </si>
  <si>
    <t>Love Without Losing Yourself</t>
  </si>
  <si>
    <t>https://www.remipearson.com/products/find-the-gap-in-your-own-life</t>
  </si>
  <si>
    <t>Find the Gap in Your Own Life</t>
  </si>
  <si>
    <t>https://www.remipearson.com/products/when-your-values-and-your-life-stop-matching</t>
  </si>
  <si>
    <t>When Your Values and Your Life Stop Matching</t>
  </si>
  <si>
    <t>https://www.remipearson.com/products/safe-or-risky-problems</t>
  </si>
  <si>
    <t>Safe or Risky Problems?</t>
  </si>
  <si>
    <t>https://www.remipearson.com/products/let-truth-lead</t>
  </si>
  <si>
    <t>Let Truth Lead</t>
  </si>
  <si>
    <t>https://www.remipearson.com/products/find-the-truth-of-the-situation</t>
  </si>
  <si>
    <t>Find the Truth of the Situation</t>
  </si>
  <si>
    <t>https://www.remipearson.com/products/your-first-90-days-as-a-leader</t>
  </si>
  <si>
    <t>https://www.remipearson.com/products/the-ground-rules-nobody-wrote-down</t>
  </si>
  <si>
    <t>The Ground Rules Nobody Wrote Down</t>
  </si>
  <si>
    <t>https://www.remipearson.com/products/lead-align-and-perform</t>
  </si>
  <si>
    <t>Lead, Align and Perform</t>
  </si>
  <si>
    <t>https://www.remipearson.com/products/influence-without-pressure</t>
  </si>
  <si>
    <t>Influence Without Pressure</t>
  </si>
  <si>
    <t>https://www.remipearson.com/products/untriggerable</t>
  </si>
  <si>
    <t>Untriggerable</t>
  </si>
  <si>
    <t>Books &amp; ebook sales</t>
  </si>
  <si>
    <t>Books</t>
  </si>
  <si>
    <t>https://www.remipearson.com/books</t>
  </si>
  <si>
    <t>https://www.remipearson.com/books/disruptive-leadership</t>
  </si>
  <si>
    <t>Disruptive Leadership by Remi Pearson — Ebook</t>
  </si>
  <si>
    <t>https://www.remipearson.com/books/ultimate-you</t>
  </si>
  <si>
    <t>Ultimate You by Remi Pearson — Ebook</t>
  </si>
  <si>
    <t>https://www.remipearson.com/books/ultimate-you-quest</t>
  </si>
  <si>
    <t>Ultimate You Quest Edition by Remi Pearson — Ebook</t>
  </si>
  <si>
    <t>Free resources (articles)</t>
  </si>
  <si>
    <t>Free resources</t>
  </si>
  <si>
    <t>https://www.remipearson.com/articles</t>
  </si>
  <si>
    <t>Article</t>
  </si>
  <si>
    <t>https://www.remipearson.com/articles/why-insight-isnt-enough</t>
  </si>
  <si>
    <t>Why Do I Keep Repeating the Same Patterns Even When I Understand Myself?</t>
  </si>
  <si>
    <t>Written from Remi's article file from Drive</t>
  </si>
  <si>
    <t>https://www.remipearson.com/articles/the-moment-you-leave-yourself</t>
  </si>
  <si>
    <t>Why Do I Lose Myself in Relationships?</t>
  </si>
  <si>
    <t>https://www.remipearson.com/articles/why-relationships-trigger-me</t>
  </si>
  <si>
    <t>Why Do Relationships Trigger Me So Much?</t>
  </si>
  <si>
    <t>https://www.remipearson.com/articles/why-do-i-keep-repeating-the-same-patterns</t>
  </si>
  <si>
    <t>Why Do I Keep Repeating the Same Patterns?</t>
  </si>
  <si>
    <t>https://www.remipearson.com/articles/how-do-i-stop-micromanaging-my-team</t>
  </si>
  <si>
    <t>How Do I Stop Micromanaging My Team?</t>
  </si>
  <si>
    <t>https://www.remipearson.com/articles/build-a-business-that-runs-without-you</t>
  </si>
  <si>
    <t>How Do You Build a Business That Can Run Without You?</t>
  </si>
  <si>
    <t>https://www.remipearson.com/articles/find-the-root-cause-of-problems-in-your-business</t>
  </si>
  <si>
    <t>How Do I Find the Root Cause of Problems in My Business?</t>
  </si>
  <si>
    <t>https://www.remipearson.com/articles/why-leaders-revert-to-old-habits-under-pressure</t>
  </si>
  <si>
    <t>Why Do Leaders Revert to Old Habits Under Pressure?</t>
  </si>
  <si>
    <t>https://www.remipearson.com/articles/how-to-sell-without-being-pushy</t>
  </si>
  <si>
    <t>How Do I Sell Without Being Pushy?</t>
  </si>
  <si>
    <t>https://www.remipearson.com/articles/how-do-i-build-a-business-that-runs-without-me</t>
  </si>
  <si>
    <t>How Do I Build a Business That Runs Without Me?</t>
  </si>
  <si>
    <t>https://www.remipearson.com/articles/how-do-i-make-sense-of-suffering</t>
  </si>
  <si>
    <t>How Do I Make Sense of Suffering Without Forcing a Positive Spin?</t>
  </si>
  <si>
    <t>https://www.remipearson.com/articles/how-to-support-someone-you-love</t>
  </si>
  <si>
    <t>How to Support Someone You Love Without Losing Yourself</t>
  </si>
  <si>
    <t>https://www.remipearson.com/articles/how-do-i-solve-the-right-problem</t>
  </si>
  <si>
    <t>How Do I Solve the Right Problem Instead of Staying Busy Fixing the Wrong One?</t>
  </si>
  <si>
    <t>https://www.remipearson.com/articles/what-are-emotional-bids</t>
  </si>
  <si>
    <t>What Are Emotional Bids? How Small Moments Build Connection</t>
  </si>
  <si>
    <t>https://www.remipearson.com/articles/how-to-set-boundaries-without-feeling-guilty</t>
  </si>
  <si>
    <t>How to Set Boundaries Without Feeling Guilty</t>
  </si>
  <si>
    <t>https://www.remipearson.com/articles/why-dont-i-feel-good-enough</t>
  </si>
  <si>
    <t>Why Don’t I Feel Good Enough, No Matter What I Achieve?</t>
  </si>
  <si>
    <t>https://www.remipearson.com/articles/why-do-i-never-have-enough-time</t>
  </si>
  <si>
    <t>Why Do I Never Have Enough Time, Even When I’m Productive?</t>
  </si>
  <si>
    <t>https://www.remipearson.com/articles/how-to-reconnect-after-conflict</t>
  </si>
  <si>
    <t>How to Reconnect After Conflict: Harmony, Disharmony and Repair</t>
  </si>
  <si>
    <t>https://www.remipearson.com/articles/how-to-stop-overthinking</t>
  </si>
  <si>
    <t>How to Stop Overthinking and Trust Yourself</t>
  </si>
  <si>
    <t>https://www.remipearson.com/articles/how-do-i-find-meaning-in-life</t>
  </si>
  <si>
    <t>How Do I Find Meaning in Life When Everything Feels Pointless?</t>
  </si>
  <si>
    <t>https://www.remipearson.com/articles/what-is-my-attachment-style</t>
  </si>
  <si>
    <t>What Is My Attachment Style? Understanding How You Connect in Relationships</t>
  </si>
  <si>
    <t>https://www.remipearson.com/articles/how-to-overcome-fear-of-failure</t>
  </si>
  <si>
    <t>How to Overcome Fear of Failure and Find the Courage to Live Fully</t>
  </si>
  <si>
    <t>Summary</t>
  </si>
  <si>
    <t>Live pages in sitemap</t>
  </si>
  <si>
    <t>Designed sales / waitlist pages</t>
  </si>
  <si>
    <t>Placeholder pages</t>
  </si>
  <si>
    <t>Articles</t>
  </si>
  <si>
    <t>Ideas &amp; Models chapters (incl. Mini Profiler)</t>
  </si>
  <si>
    <t>Integrations (see Integrations sheet)</t>
  </si>
  <si>
    <t>Remi Pearson Website — Initial Scope</t>
  </si>
  <si>
    <t>Baseline brief as of 19 Sep 2026 (from docs/Remi-Website-Progress.docx), and where each item landed on the live site.</t>
  </si>
  <si>
    <t>Requirement (initial brief)</t>
  </si>
  <si>
    <t>Source / design reference</t>
  </si>
  <si>
    <t>Planned at baseline (19 Sep 2026)</t>
  </si>
  <si>
    <t>Status at go-live</t>
  </si>
  <si>
    <t>Delivered at (live URL)</t>
  </si>
  <si>
    <t>Notes</t>
  </si>
  <si>
    <t>Pages</t>
  </si>
  <si>
    <t>Home page: hero variants, rabbit holes, perspectives, products, enquiry form</t>
  </si>
  <si>
    <t>v1.0 / v2.0 design canvas; NEW HOME PAGE PART ONE–TWO</t>
  </si>
  <si>
    <t>Single static page with hero variants (A–D)</t>
  </si>
  <si>
    <t>Done</t>
  </si>
  <si>
    <t>https://www.remipearson.com/</t>
  </si>
  <si>
    <t>Rebuilt from the new homepage design; adds the Spotlight carousel. Homepage part three (about snapshot, newsletter band, "Fancy a proper conversation") not built yet.</t>
  </si>
  <si>
    <t>About Remi</t>
  </si>
  <si>
    <t>Design screenshots 19–22</t>
  </si>
  <si>
    <t>Inner page</t>
  </si>
  <si>
    <t>https://www.remipearson.com/about-remi</t>
  </si>
  <si>
    <t>Plus awards marquee and links into models, articles and rabbit holes.</t>
  </si>
  <si>
    <t>Invite Remi</t>
  </si>
  <si>
    <t>Design screenshots 23–25</t>
  </si>
  <si>
    <t>Inner page with invitation form</t>
  </si>
  <si>
    <t>https://www.remipearson.com/invite-remi</t>
  </si>
  <si>
    <t>Plus speaker reel (Vimeo) and TV &amp; radio (Broadcast) option.</t>
  </si>
  <si>
    <t>Perspectives (podcast)</t>
  </si>
  <si>
    <t>Design screenshots 26–29</t>
  </si>
  <si>
    <t>Searchable episode archive with topic filters, YouTube links, "Ask Remi" form.</t>
  </si>
  <si>
    <t>Ideas &amp; Models PDF</t>
  </si>
  <si>
    <t>One long overview page</t>
  </si>
  <si>
    <t>Done — expanded</t>
  </si>
  <si>
    <t>https://www.remipearson.com/ideas-models</t>
  </si>
  <si>
    <t>Expanded into 10 chapter pages plus the CAM Mini Profiler (see Delivered sheet).</t>
  </si>
  <si>
    <t>T.R.U.S.T.M.E. page</t>
  </si>
  <si>
    <t>Copy deck</t>
  </si>
  <si>
    <t>Standalone page</t>
  </si>
  <si>
    <t>Done — moved</t>
  </si>
  <si>
    <t>https://www.remipearson.com/ideas-models/trustme-model</t>
  </si>
  <si>
    <t>Now a chapter of Ideas &amp; Models.</t>
  </si>
  <si>
    <t>Site chrome</t>
  </si>
  <si>
    <t>Header navigation</t>
  </si>
  <si>
    <t>v2.0 design</t>
  </si>
  <si>
    <t>Top-level links</t>
  </si>
  <si>
    <t>Drop-down menus (Books, Ideas &amp; Models chapters, programs), site search (Ctrl/⌘ K).</t>
  </si>
  <si>
    <t>Footer</t>
  </si>
  <si>
    <t>Links + newsletter</t>
  </si>
  <si>
    <t>Newsletter sign-up live through Resend; Privacy Policy link.</t>
  </si>
  <si>
    <t>"Talk to Remi" chat widget</t>
  </si>
  <si>
    <t>Scripted chat</t>
  </si>
  <si>
    <t>Scripted keyword replies that hand off to the enquiry / invite forms.</t>
  </si>
  <si>
    <t>Baseline vs go-live at a glance</t>
  </si>
  <si>
    <t>Measure</t>
  </si>
  <si>
    <t>Baseline (19 Sep 2026)</t>
  </si>
  <si>
    <t>At go-live (Oct 2026)</t>
  </si>
  <si>
    <t>Pages in scope</t>
  </si>
  <si>
    <t>Free articles</t>
  </si>
  <si>
    <t>Integrations</t>
  </si>
  <si>
    <t>Hosting</t>
  </si>
  <si>
    <t>Netlify (static)</t>
  </si>
  <si>
    <t>Vercel (Next.js)</t>
  </si>
  <si>
    <t>Forms</t>
  </si>
  <si>
    <t>Stub</t>
  </si>
  <si>
    <t>Live — Resend</t>
  </si>
  <si>
    <t>Payments</t>
  </si>
  <si>
    <t>None</t>
  </si>
  <si>
    <t>Stripe (ebooks)</t>
  </si>
  <si>
    <t>Remi Pearson Website — Integrations &amp; Site-wide Features</t>
  </si>
  <si>
    <t>Third-party services and site-wide features running on https://www.remipearson.com at go-live (Oct 2026).</t>
  </si>
  <si>
    <t>Type</t>
  </si>
  <si>
    <t>Integration / feature</t>
  </si>
  <si>
    <t>Purpose</t>
  </si>
  <si>
    <t>What it does</t>
  </si>
  <si>
    <t>Integration</t>
  </si>
  <si>
    <t>Stripe</t>
  </si>
  <si>
    <t>Ebook payments</t>
  </si>
  <si>
    <t>Stripe Checkout for the three ebooks (AUD, price set on the server). Webhook verified by signature; order re-read from Stripe and only delivered when paid. Buyer gets an emailed download link signed with a secret (HMAC), valid 7 days; files sit in private storage and are served by 10-minute signed URLs. Team can resend a link.</t>
  </si>
  <si>
    <t>Resend — email</t>
  </si>
  <si>
    <t>Form notifications &amp; auto-replies</t>
  </si>
  <si>
    <t>Every form posts to /api/lead: the team gets a notification titled by that form's topic (product, list, interest or page); enquiries and invitations get an automatic reply; book buyers get their download email and the team a "Book sale" notice.</t>
  </si>
  <si>
    <t>Resend — contacts</t>
  </si>
  <si>
    <t>Mailing-list segments</t>
  </si>
  <si>
    <t>Sign-ups, waitlists and invitations become Resend contacts sorted into segments, created automatically by name: topic lists (Leadership, Business, Personal development, Consultative sales, Relationships), Invite Remi, product waitlists and free series. Free-series marketing only with an opt-in tick.</t>
  </si>
  <si>
    <t>Forms on the site</t>
  </si>
  <si>
    <t>Enquiry, invite, newsletter, waitlist, feedback</t>
  </si>
  <si>
    <t>Homepage enquiry, Invite Remi, footer + /subscribe newsletter, Rebel Yell and product waitlists, free-series registrations, "Ask Remi" on articles and Perspectives, topic list sign-ups. Buttons disable while sending, errors are shown, hidden honeypot drops spam. Links can preset the form (?interest= / ?invite=).</t>
  </si>
  <si>
    <t>Upstash Redis</t>
  </si>
  <si>
    <t>Votes &amp; delivery tracking</t>
  </si>
  <si>
    <t>"Was this helpful?" votes and counts on every article; "N readers found this helpful"; once-per-order book delivery.</t>
  </si>
  <si>
    <t>Vercel Blob (private)</t>
  </si>
  <si>
    <t>Ebook file storage</t>
  </si>
  <si>
    <t>The three ebook PDFs stored privately (anonymous access refused); uploaded with npm run upload-books.</t>
  </si>
  <si>
    <t>Feature</t>
  </si>
  <si>
    <t>Site search</t>
  </si>
  <si>
    <t>Header search (Ctrl/⌘ K or /)</t>
  </si>
  <si>
    <t>Index built automatically each build from every page heading; suggestion chips.</t>
  </si>
  <si>
    <t>SEO &amp; redirects</t>
  </si>
  <si>
    <t>Search listings, sitemap, old URLs</t>
  </si>
  <si>
    <t>Written search descriptions per page; generated sitemap, robots and llms.txt; redirects from old .html pages and the previous Wix site (/post/, /blog/, /about, /workwithremi…).</t>
  </si>
  <si>
    <t>Reader tools</t>
  </si>
  <si>
    <t>Share &amp; feedback on articles</t>
  </si>
  <si>
    <t>Share sheet, copy link, email, LinkedIn, Facebook, WhatsApp (no third-party scripts); share drop-down at the top of every article.</t>
  </si>
  <si>
    <t>Chat widget</t>
  </si>
  <si>
    <t>"Talk to Remi"</t>
  </si>
  <si>
    <t>Scripted keyword replies on every page, handing off to the enquiry or invite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</si>
</sst>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rgb="FF5A1A1A"/>
      <name val="Arial"/>
    </font>
    <font>
      <i/>
      <sz val="10"/>
      <color rgb="FF666666"/>
      <name val="Arial"/>
    </font>
    <font>
      <b/>
      <sz val="11"/>
      <color rgb="FFFFFFFF"/>
      <name val="Arial"/>
    </font>
    <font>
      <b/>
      <sz val="11"/>
      <color rgb="FF5A1A1A"/>
      <name val="Arial"/>
    </font>
    <font>
      <sz val="10"/>
      <name val="Arial"/>
    </font>
    <font>
      <u/>
      <sz val="10"/>
      <color rgb="FF0563C1"/>
      <name val="Arial"/>
    </font>
    <font>
      <sz val="10"/>
      <color rgb="FF008000"/>
      <name val="Arial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A1A1A"/>
      </patternFill>
    </fill>
    <fill>
      <patternFill patternType="solid">
        <fgColor rgb="FFF3E9DC"/>
      </patternFill>
    </fill>
  </fills>
  <borders count="6">
    <border>
      <left/>
      <right/>
      <top/>
      <bottom/>
      <diagonal/>
    </border>
    <border>
      <left style="thin">
        <color rgb="FFD9CFC2"/>
      </left>
      <right style="thin">
        <color rgb="FFD9CFC2"/>
      </right>
      <top style="thin">
        <color rgb="FFD9CFC2"/>
      </top>
      <bottom style="thin">
        <color rgb="FFD9CFC2"/>
      </bottom>
      <diagonal/>
    </border>
    <border>
      <left/>
      <right/>
      <top style="thin">
        <color rgb="FFD9CFC2"/>
      </top>
      <bottom style="thin">
        <color rgb="FFD9CFC2"/>
      </bottom>
      <diagonal/>
    </border>
    <border>
      <left/>
      <right style="thin">
        <color rgb="FFD9CFC2"/>
      </right>
      <top style="thin">
        <color rgb="FFD9CFC2"/>
      </top>
      <bottom style="thin">
        <color rgb="FFD9CFC2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4"/>
  </cellStyleXfs>
  <cellXfs count="19">
    <xf numFmtId="0" fontId="0" fillId="0" borderId="0" xfId="0" applyBorder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8" fillId="0" borderId="4" xfId="0" applyFont="1"/>
    <xf numFmtId="0" fontId="4" fillId="0" borderId="4" xfId="0" applyFont="1"/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9" fillId="0" borderId="5" xfId="0" applyFont="1" applyBorder="1"/>
    <xf numFmtId="0" fontId="0" fillId="0" borderId="4" xfId="0"/>
    <xf numFmtId="0" fontId="3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0" borderId="4" xfId="0" applyFont="1"/>
    <xf numFmtId="0" fontId="0" fillId="0" borderId="0" xfId="0" applyBorder="1"/>
    <xf numFmtId="0" fontId="4" fillId="3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4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mipearson.com/" TargetMode="External"/><Relationship Id="rId3" Type="http://schemas.openxmlformats.org/officeDocument/2006/relationships/hyperlink" Target="https://www.remipearson.com/invite-remi" TargetMode="External"/><Relationship Id="rId7" Type="http://schemas.openxmlformats.org/officeDocument/2006/relationships/hyperlink" Target="https://www.remipearson.com/" TargetMode="External"/><Relationship Id="rId2" Type="http://schemas.openxmlformats.org/officeDocument/2006/relationships/hyperlink" Target="https://www.remipearson.com/about-remi" TargetMode="External"/><Relationship Id="rId1" Type="http://schemas.openxmlformats.org/officeDocument/2006/relationships/hyperlink" Target="https://www.remipearson.com/" TargetMode="External"/><Relationship Id="rId6" Type="http://schemas.openxmlformats.org/officeDocument/2006/relationships/hyperlink" Target="https://www.remipearson.com/ideas-models/trustme-model" TargetMode="External"/><Relationship Id="rId5" Type="http://schemas.openxmlformats.org/officeDocument/2006/relationships/hyperlink" Target="https://www.remipearson.com/ideas-models" TargetMode="External"/><Relationship Id="rId4" Type="http://schemas.openxmlformats.org/officeDocument/2006/relationships/hyperlink" Target="https://www.remipearson.com/perspectives" TargetMode="External"/><Relationship Id="rId9" Type="http://schemas.openxmlformats.org/officeDocument/2006/relationships/hyperlink" Target="https://www.remipearson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remipearson.com/products/five-paths-to-a-healthy-relationship" TargetMode="External"/><Relationship Id="rId21" Type="http://schemas.openxmlformats.org/officeDocument/2006/relationships/hyperlink" Target="https://www.remipearson.com/products/self-esteem-triad" TargetMode="External"/><Relationship Id="rId42" Type="http://schemas.openxmlformats.org/officeDocument/2006/relationships/hyperlink" Target="https://www.remipearson.com/products/why-do-i-keep-doing-this" TargetMode="External"/><Relationship Id="rId47" Type="http://schemas.openxmlformats.org/officeDocument/2006/relationships/hyperlink" Target="https://www.remipearson.com/products/love-without-losing-yourself" TargetMode="External"/><Relationship Id="rId63" Type="http://schemas.openxmlformats.org/officeDocument/2006/relationships/hyperlink" Target="https://www.remipearson.com/articles/why-insight-isnt-enough" TargetMode="External"/><Relationship Id="rId68" Type="http://schemas.openxmlformats.org/officeDocument/2006/relationships/hyperlink" Target="https://www.remipearson.com/articles/build-a-business-that-runs-without-you" TargetMode="External"/><Relationship Id="rId84" Type="http://schemas.openxmlformats.org/officeDocument/2006/relationships/hyperlink" Target="https://www.remipearson.com/articles/how-to-overcome-fear-of-failure" TargetMode="External"/><Relationship Id="rId16" Type="http://schemas.openxmlformats.org/officeDocument/2006/relationships/hyperlink" Target="https://www.remipearson.com/build-an-asset" TargetMode="External"/><Relationship Id="rId11" Type="http://schemas.openxmlformats.org/officeDocument/2006/relationships/hyperlink" Target="https://www.remipearson.com/i-know-better" TargetMode="External"/><Relationship Id="rId32" Type="http://schemas.openxmlformats.org/officeDocument/2006/relationships/hyperlink" Target="https://www.remipearson.com/products/benchmarking-what-good-actually-looks-like" TargetMode="External"/><Relationship Id="rId37" Type="http://schemas.openxmlformats.org/officeDocument/2006/relationships/hyperlink" Target="https://www.remipearson.com/products/from-practice-to-enterprise" TargetMode="External"/><Relationship Id="rId53" Type="http://schemas.openxmlformats.org/officeDocument/2006/relationships/hyperlink" Target="https://www.remipearson.com/products/your-first-90-days-as-a-leader" TargetMode="External"/><Relationship Id="rId58" Type="http://schemas.openxmlformats.org/officeDocument/2006/relationships/hyperlink" Target="https://www.remipearson.com/books" TargetMode="External"/><Relationship Id="rId74" Type="http://schemas.openxmlformats.org/officeDocument/2006/relationships/hyperlink" Target="https://www.remipearson.com/articles/how-to-support-someone-you-love" TargetMode="External"/><Relationship Id="rId79" Type="http://schemas.openxmlformats.org/officeDocument/2006/relationships/hyperlink" Target="https://www.remipearson.com/articles/why-do-i-never-have-enough-time" TargetMode="External"/><Relationship Id="rId5" Type="http://schemas.openxmlformats.org/officeDocument/2006/relationships/hyperlink" Target="https://www.remipearson.com/ideas-models/values-alignment-technique" TargetMode="External"/><Relationship Id="rId61" Type="http://schemas.openxmlformats.org/officeDocument/2006/relationships/hyperlink" Target="https://www.remipearson.com/books/ultimate-you-quest" TargetMode="External"/><Relationship Id="rId82" Type="http://schemas.openxmlformats.org/officeDocument/2006/relationships/hyperlink" Target="https://www.remipearson.com/articles/how-do-i-find-meaning-in-life" TargetMode="External"/><Relationship Id="rId19" Type="http://schemas.openxmlformats.org/officeDocument/2006/relationships/hyperlink" Target="https://www.remipearson.com/programs/the-shift" TargetMode="External"/><Relationship Id="rId14" Type="http://schemas.openxmlformats.org/officeDocument/2006/relationships/hyperlink" Target="https://www.remipearson.com/leadership" TargetMode="External"/><Relationship Id="rId22" Type="http://schemas.openxmlformats.org/officeDocument/2006/relationships/hyperlink" Target="https://www.remipearson.com/products/becoming-conscious" TargetMode="External"/><Relationship Id="rId27" Type="http://schemas.openxmlformats.org/officeDocument/2006/relationships/hyperlink" Target="https://www.remipearson.com/products/finding-our-way-back" TargetMode="External"/><Relationship Id="rId30" Type="http://schemas.openxmlformats.org/officeDocument/2006/relationships/hyperlink" Target="https://www.remipearson.com/products/the-performance-management-blueprint" TargetMode="External"/><Relationship Id="rId35" Type="http://schemas.openxmlformats.org/officeDocument/2006/relationships/hyperlink" Target="https://www.remipearson.com/products/selling-from-stage" TargetMode="External"/><Relationship Id="rId43" Type="http://schemas.openxmlformats.org/officeDocument/2006/relationships/hyperlink" Target="https://www.remipearson.com/products/attachment-or-love" TargetMode="External"/><Relationship Id="rId48" Type="http://schemas.openxmlformats.org/officeDocument/2006/relationships/hyperlink" Target="https://www.remipearson.com/products/find-the-gap-in-your-own-life" TargetMode="External"/><Relationship Id="rId56" Type="http://schemas.openxmlformats.org/officeDocument/2006/relationships/hyperlink" Target="https://www.remipearson.com/products/influence-without-pressure" TargetMode="External"/><Relationship Id="rId64" Type="http://schemas.openxmlformats.org/officeDocument/2006/relationships/hyperlink" Target="https://www.remipearson.com/articles/the-moment-you-leave-yourself" TargetMode="External"/><Relationship Id="rId69" Type="http://schemas.openxmlformats.org/officeDocument/2006/relationships/hyperlink" Target="https://www.remipearson.com/articles/find-the-root-cause-of-problems-in-your-business" TargetMode="External"/><Relationship Id="rId77" Type="http://schemas.openxmlformats.org/officeDocument/2006/relationships/hyperlink" Target="https://www.remipearson.com/articles/how-to-set-boundaries-without-feeling-guilty" TargetMode="External"/><Relationship Id="rId8" Type="http://schemas.openxmlformats.org/officeDocument/2006/relationships/hyperlink" Target="https://www.remipearson.com/ideas-models/disruptive-leadership" TargetMode="External"/><Relationship Id="rId51" Type="http://schemas.openxmlformats.org/officeDocument/2006/relationships/hyperlink" Target="https://www.remipearson.com/products/let-truth-lead" TargetMode="External"/><Relationship Id="rId72" Type="http://schemas.openxmlformats.org/officeDocument/2006/relationships/hyperlink" Target="https://www.remipearson.com/articles/how-do-i-build-a-business-that-runs-without-me" TargetMode="External"/><Relationship Id="rId80" Type="http://schemas.openxmlformats.org/officeDocument/2006/relationships/hyperlink" Target="https://www.remipearson.com/articles/how-to-reconnect-after-conflict" TargetMode="External"/><Relationship Id="rId3" Type="http://schemas.openxmlformats.org/officeDocument/2006/relationships/hyperlink" Target="https://www.remipearson.com/ideas-models/deep-state-repatterning" TargetMode="External"/><Relationship Id="rId12" Type="http://schemas.openxmlformats.org/officeDocument/2006/relationships/hyperlink" Target="https://www.remipearson.com/loving-someone" TargetMode="External"/><Relationship Id="rId17" Type="http://schemas.openxmlformats.org/officeDocument/2006/relationships/hyperlink" Target="https://www.remipearson.com/programs" TargetMode="External"/><Relationship Id="rId25" Type="http://schemas.openxmlformats.org/officeDocument/2006/relationships/hyperlink" Target="https://www.remipearson.com/products/emotion-integration-technique-foundations" TargetMode="External"/><Relationship Id="rId33" Type="http://schemas.openxmlformats.org/officeDocument/2006/relationships/hyperlink" Target="https://www.remipearson.com/products/ultimate-influence-consultative-sales-introduction" TargetMode="External"/><Relationship Id="rId38" Type="http://schemas.openxmlformats.org/officeDocument/2006/relationships/hyperlink" Target="https://www.remipearson.com/products/trust-that-holds" TargetMode="External"/><Relationship Id="rId46" Type="http://schemas.openxmlformats.org/officeDocument/2006/relationships/hyperlink" Target="https://www.remipearson.com/products/core-improve-innovate" TargetMode="External"/><Relationship Id="rId59" Type="http://schemas.openxmlformats.org/officeDocument/2006/relationships/hyperlink" Target="https://www.remipearson.com/books/disruptive-leadership" TargetMode="External"/><Relationship Id="rId67" Type="http://schemas.openxmlformats.org/officeDocument/2006/relationships/hyperlink" Target="https://www.remipearson.com/articles/how-do-i-stop-micromanaging-my-team" TargetMode="External"/><Relationship Id="rId20" Type="http://schemas.openxmlformats.org/officeDocument/2006/relationships/hyperlink" Target="https://www.remipearson.com/products" TargetMode="External"/><Relationship Id="rId41" Type="http://schemas.openxmlformats.org/officeDocument/2006/relationships/hyperlink" Target="https://www.remipearson.com/products/build-beyond-the-founder" TargetMode="External"/><Relationship Id="rId54" Type="http://schemas.openxmlformats.org/officeDocument/2006/relationships/hyperlink" Target="https://www.remipearson.com/products/the-ground-rules-nobody-wrote-down" TargetMode="External"/><Relationship Id="rId62" Type="http://schemas.openxmlformats.org/officeDocument/2006/relationships/hyperlink" Target="https://www.remipearson.com/articles" TargetMode="External"/><Relationship Id="rId70" Type="http://schemas.openxmlformats.org/officeDocument/2006/relationships/hyperlink" Target="https://www.remipearson.com/articles/why-leaders-revert-to-old-habits-under-pressure" TargetMode="External"/><Relationship Id="rId75" Type="http://schemas.openxmlformats.org/officeDocument/2006/relationships/hyperlink" Target="https://www.remipearson.com/articles/how-do-i-solve-the-right-problem" TargetMode="External"/><Relationship Id="rId83" Type="http://schemas.openxmlformats.org/officeDocument/2006/relationships/hyperlink" Target="https://www.remipearson.com/articles/what-is-my-attachment-style" TargetMode="External"/><Relationship Id="rId1" Type="http://schemas.openxmlformats.org/officeDocument/2006/relationships/hyperlink" Target="https://www.remipearson.com/ideas-models/self-esteem-triad" TargetMode="External"/><Relationship Id="rId6" Type="http://schemas.openxmlformats.org/officeDocument/2006/relationships/hyperlink" Target="https://www.remipearson.com/ideas-models/critical-alignment-model" TargetMode="External"/><Relationship Id="rId15" Type="http://schemas.openxmlformats.org/officeDocument/2006/relationships/hyperlink" Target="https://www.remipearson.com/ultimate-influence" TargetMode="External"/><Relationship Id="rId23" Type="http://schemas.openxmlformats.org/officeDocument/2006/relationships/hyperlink" Target="https://www.remipearson.com/products/self-regulation-when-it-matters" TargetMode="External"/><Relationship Id="rId28" Type="http://schemas.openxmlformats.org/officeDocument/2006/relationships/hyperlink" Target="https://www.remipearson.com/products/holding-space-without-rescuing-or-disappearing" TargetMode="External"/><Relationship Id="rId36" Type="http://schemas.openxmlformats.org/officeDocument/2006/relationships/hyperlink" Target="https://www.remipearson.com/products/selling-from-stage-fundamentals" TargetMode="External"/><Relationship Id="rId49" Type="http://schemas.openxmlformats.org/officeDocument/2006/relationships/hyperlink" Target="https://www.remipearson.com/products/when-your-values-and-your-life-stop-matching" TargetMode="External"/><Relationship Id="rId57" Type="http://schemas.openxmlformats.org/officeDocument/2006/relationships/hyperlink" Target="https://www.remipearson.com/products/untriggerable" TargetMode="External"/><Relationship Id="rId10" Type="http://schemas.openxmlformats.org/officeDocument/2006/relationships/hyperlink" Target="https://www.remipearson.com/ideas-models/ultimate-influence" TargetMode="External"/><Relationship Id="rId31" Type="http://schemas.openxmlformats.org/officeDocument/2006/relationships/hyperlink" Target="https://www.remipearson.com/products/the-90-day-review" TargetMode="External"/><Relationship Id="rId44" Type="http://schemas.openxmlformats.org/officeDocument/2006/relationships/hyperlink" Target="https://www.remipearson.com/products/disruptive-leadership" TargetMode="External"/><Relationship Id="rId52" Type="http://schemas.openxmlformats.org/officeDocument/2006/relationships/hyperlink" Target="https://www.remipearson.com/products/find-the-truth-of-the-situation" TargetMode="External"/><Relationship Id="rId60" Type="http://schemas.openxmlformats.org/officeDocument/2006/relationships/hyperlink" Target="https://www.remipearson.com/books/ultimate-you" TargetMode="External"/><Relationship Id="rId65" Type="http://schemas.openxmlformats.org/officeDocument/2006/relationships/hyperlink" Target="https://www.remipearson.com/articles/why-relationships-trigger-me" TargetMode="External"/><Relationship Id="rId73" Type="http://schemas.openxmlformats.org/officeDocument/2006/relationships/hyperlink" Target="https://www.remipearson.com/articles/how-do-i-make-sense-of-suffering" TargetMode="External"/><Relationship Id="rId78" Type="http://schemas.openxmlformats.org/officeDocument/2006/relationships/hyperlink" Target="https://www.remipearson.com/articles/why-dont-i-feel-good-enough" TargetMode="External"/><Relationship Id="rId81" Type="http://schemas.openxmlformats.org/officeDocument/2006/relationships/hyperlink" Target="https://www.remipearson.com/articles/how-to-stop-overthinking" TargetMode="External"/><Relationship Id="rId4" Type="http://schemas.openxmlformats.org/officeDocument/2006/relationships/hyperlink" Target="https://www.remipearson.com/ideas-models/emotion-integration-technique" TargetMode="External"/><Relationship Id="rId9" Type="http://schemas.openxmlformats.org/officeDocument/2006/relationships/hyperlink" Target="https://www.remipearson.com/ideas-models/first-90-days" TargetMode="External"/><Relationship Id="rId13" Type="http://schemas.openxmlformats.org/officeDocument/2006/relationships/hyperlink" Target="https://www.remipearson.com/tell-me-the-truth" TargetMode="External"/><Relationship Id="rId18" Type="http://schemas.openxmlformats.org/officeDocument/2006/relationships/hyperlink" Target="https://www.remipearson.com/programs/rebel-yell" TargetMode="External"/><Relationship Id="rId39" Type="http://schemas.openxmlformats.org/officeDocument/2006/relationships/hyperlink" Target="https://www.remipearson.com/products/critical-alignment-model-for-leaders" TargetMode="External"/><Relationship Id="rId34" Type="http://schemas.openxmlformats.org/officeDocument/2006/relationships/hyperlink" Target="https://www.remipearson.com/products/ultimate-influence-foundations" TargetMode="External"/><Relationship Id="rId50" Type="http://schemas.openxmlformats.org/officeDocument/2006/relationships/hyperlink" Target="https://www.remipearson.com/products/safe-or-risky-problems" TargetMode="External"/><Relationship Id="rId55" Type="http://schemas.openxmlformats.org/officeDocument/2006/relationships/hyperlink" Target="https://www.remipearson.com/products/lead-align-and-perform" TargetMode="External"/><Relationship Id="rId76" Type="http://schemas.openxmlformats.org/officeDocument/2006/relationships/hyperlink" Target="https://www.remipearson.com/articles/what-are-emotional-bids" TargetMode="External"/><Relationship Id="rId7" Type="http://schemas.openxmlformats.org/officeDocument/2006/relationships/hyperlink" Target="https://www.remipearson.com/ideas-models/critical-alignment-model/mini-profiler" TargetMode="External"/><Relationship Id="rId71" Type="http://schemas.openxmlformats.org/officeDocument/2006/relationships/hyperlink" Target="https://www.remipearson.com/articles/how-to-sell-without-being-pushy" TargetMode="External"/><Relationship Id="rId2" Type="http://schemas.openxmlformats.org/officeDocument/2006/relationships/hyperlink" Target="https://www.remipearson.com/ideas-models/safe-problems-risky-truths" TargetMode="External"/><Relationship Id="rId29" Type="http://schemas.openxmlformats.org/officeDocument/2006/relationships/hyperlink" Target="https://www.remipearson.com/products/obstacles-to-love" TargetMode="External"/><Relationship Id="rId24" Type="http://schemas.openxmlformats.org/officeDocument/2006/relationships/hyperlink" Target="https://www.remipearson.com/products/deep-state-repatterning" TargetMode="External"/><Relationship Id="rId40" Type="http://schemas.openxmlformats.org/officeDocument/2006/relationships/hyperlink" Target="https://www.remipearson.com/products/come-back-to-yourself" TargetMode="External"/><Relationship Id="rId45" Type="http://schemas.openxmlformats.org/officeDocument/2006/relationships/hyperlink" Target="https://www.remipearson.com/products/holding-space-for-magnetic-sales" TargetMode="External"/><Relationship Id="rId66" Type="http://schemas.openxmlformats.org/officeDocument/2006/relationships/hyperlink" Target="https://www.remipearson.com/articles/why-do-i-keep-repeating-the-same-patter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workbookViewId="0">
      <pane ySplit="4" topLeftCell="A5" activePane="bottomLeft" state="frozen"/>
      <selection pane="bottomLeft" activeCell="F29" sqref="F29"/>
    </sheetView>
  </sheetViews>
  <sheetFormatPr defaultRowHeight="15" x14ac:dyDescent="0.25"/>
  <cols>
    <col min="1" max="1" width="5" customWidth="1"/>
    <col min="2" max="2" width="46" customWidth="1"/>
    <col min="3" max="4" width="30" customWidth="1"/>
    <col min="5" max="5" width="18" customWidth="1"/>
    <col min="6" max="6" width="44" customWidth="1"/>
    <col min="7" max="7" width="70" customWidth="1"/>
  </cols>
  <sheetData>
    <row r="1" spans="1:7" ht="20.25" customHeight="1" x14ac:dyDescent="0.3">
      <c r="A1" s="18" t="s">
        <v>211</v>
      </c>
      <c r="B1" s="14"/>
      <c r="C1" s="14"/>
      <c r="D1" s="14"/>
      <c r="E1" s="14"/>
      <c r="F1" s="14"/>
      <c r="G1" s="14"/>
    </row>
    <row r="2" spans="1:7" x14ac:dyDescent="0.25">
      <c r="A2" s="13" t="s">
        <v>212</v>
      </c>
      <c r="B2" s="14"/>
      <c r="C2" s="14"/>
      <c r="D2" s="14"/>
      <c r="E2" s="14"/>
      <c r="F2" s="14"/>
      <c r="G2" s="14"/>
    </row>
    <row r="4" spans="1:7" ht="30" customHeight="1" x14ac:dyDescent="0.25">
      <c r="A4" s="1" t="s">
        <v>2</v>
      </c>
      <c r="B4" s="1" t="s">
        <v>213</v>
      </c>
      <c r="C4" s="1" t="s">
        <v>214</v>
      </c>
      <c r="D4" s="1" t="s">
        <v>215</v>
      </c>
      <c r="E4" s="1" t="s">
        <v>216</v>
      </c>
      <c r="F4" s="1" t="s">
        <v>217</v>
      </c>
      <c r="G4" s="1" t="s">
        <v>218</v>
      </c>
    </row>
    <row r="5" spans="1:7" x14ac:dyDescent="0.25">
      <c r="A5" s="15" t="s">
        <v>219</v>
      </c>
      <c r="B5" s="16"/>
      <c r="C5" s="16"/>
      <c r="D5" s="16"/>
      <c r="E5" s="16"/>
      <c r="F5" s="16"/>
      <c r="G5" s="17"/>
    </row>
    <row r="6" spans="1:7" ht="38.25" customHeight="1" x14ac:dyDescent="0.25">
      <c r="A6" s="6">
        <v>1</v>
      </c>
      <c r="B6" s="7" t="s">
        <v>220</v>
      </c>
      <c r="C6" s="7" t="s">
        <v>221</v>
      </c>
      <c r="D6" s="7" t="s">
        <v>222</v>
      </c>
      <c r="E6" s="6" t="s">
        <v>223</v>
      </c>
      <c r="F6" s="8" t="s">
        <v>224</v>
      </c>
      <c r="G6" s="7" t="s">
        <v>225</v>
      </c>
    </row>
    <row r="7" spans="1:7" x14ac:dyDescent="0.25">
      <c r="A7" s="6">
        <v>2</v>
      </c>
      <c r="B7" s="7" t="s">
        <v>226</v>
      </c>
      <c r="C7" s="7" t="s">
        <v>227</v>
      </c>
      <c r="D7" s="7" t="s">
        <v>228</v>
      </c>
      <c r="E7" s="6" t="s">
        <v>223</v>
      </c>
      <c r="F7" s="8" t="s">
        <v>229</v>
      </c>
      <c r="G7" s="7" t="s">
        <v>230</v>
      </c>
    </row>
    <row r="8" spans="1:7" x14ac:dyDescent="0.25">
      <c r="A8" s="6">
        <v>3</v>
      </c>
      <c r="B8" s="7" t="s">
        <v>231</v>
      </c>
      <c r="C8" s="7" t="s">
        <v>232</v>
      </c>
      <c r="D8" s="7" t="s">
        <v>233</v>
      </c>
      <c r="E8" s="6" t="s">
        <v>223</v>
      </c>
      <c r="F8" s="8" t="s">
        <v>234</v>
      </c>
      <c r="G8" s="7" t="s">
        <v>235</v>
      </c>
    </row>
    <row r="9" spans="1:7" x14ac:dyDescent="0.25">
      <c r="A9" s="6">
        <v>4</v>
      </c>
      <c r="B9" s="7" t="s">
        <v>236</v>
      </c>
      <c r="C9" s="7" t="s">
        <v>237</v>
      </c>
      <c r="D9" s="7" t="s">
        <v>228</v>
      </c>
      <c r="E9" s="6" t="s">
        <v>223</v>
      </c>
      <c r="F9" s="8" t="s">
        <v>10</v>
      </c>
      <c r="G9" s="7" t="s">
        <v>238</v>
      </c>
    </row>
    <row r="10" spans="1:7" ht="25.5" customHeight="1" x14ac:dyDescent="0.25">
      <c r="A10" s="6">
        <v>5</v>
      </c>
      <c r="B10" s="7" t="s">
        <v>21</v>
      </c>
      <c r="C10" s="7" t="s">
        <v>239</v>
      </c>
      <c r="D10" s="7" t="s">
        <v>240</v>
      </c>
      <c r="E10" s="6" t="s">
        <v>241</v>
      </c>
      <c r="F10" s="8" t="s">
        <v>242</v>
      </c>
      <c r="G10" s="7" t="s">
        <v>243</v>
      </c>
    </row>
    <row r="11" spans="1:7" ht="25.5" customHeight="1" x14ac:dyDescent="0.25">
      <c r="A11" s="6">
        <v>6</v>
      </c>
      <c r="B11" s="7" t="s">
        <v>244</v>
      </c>
      <c r="C11" s="7" t="s">
        <v>245</v>
      </c>
      <c r="D11" s="7" t="s">
        <v>246</v>
      </c>
      <c r="E11" s="6" t="s">
        <v>247</v>
      </c>
      <c r="F11" s="8" t="s">
        <v>248</v>
      </c>
      <c r="G11" s="7" t="s">
        <v>249</v>
      </c>
    </row>
    <row r="12" spans="1:7" x14ac:dyDescent="0.25">
      <c r="A12" s="15" t="s">
        <v>250</v>
      </c>
      <c r="B12" s="16"/>
      <c r="C12" s="16"/>
      <c r="D12" s="16"/>
      <c r="E12" s="16"/>
      <c r="F12" s="16"/>
      <c r="G12" s="17"/>
    </row>
    <row r="13" spans="1:7" ht="25.5" customHeight="1" x14ac:dyDescent="0.25">
      <c r="A13" s="6">
        <v>7</v>
      </c>
      <c r="B13" s="7" t="s">
        <v>251</v>
      </c>
      <c r="C13" s="7" t="s">
        <v>252</v>
      </c>
      <c r="D13" s="7" t="s">
        <v>253</v>
      </c>
      <c r="E13" s="6" t="s">
        <v>241</v>
      </c>
      <c r="F13" s="8" t="s">
        <v>224</v>
      </c>
      <c r="G13" s="7" t="s">
        <v>254</v>
      </c>
    </row>
    <row r="14" spans="1:7" x14ac:dyDescent="0.25">
      <c r="A14" s="6">
        <v>8</v>
      </c>
      <c r="B14" s="7" t="s">
        <v>255</v>
      </c>
      <c r="C14" s="7" t="s">
        <v>252</v>
      </c>
      <c r="D14" s="7" t="s">
        <v>256</v>
      </c>
      <c r="E14" s="6" t="s">
        <v>223</v>
      </c>
      <c r="F14" s="8" t="s">
        <v>224</v>
      </c>
      <c r="G14" s="7" t="s">
        <v>257</v>
      </c>
    </row>
    <row r="15" spans="1:7" x14ac:dyDescent="0.25">
      <c r="A15" s="6">
        <v>9</v>
      </c>
      <c r="B15" s="7" t="s">
        <v>258</v>
      </c>
      <c r="C15" s="7" t="s">
        <v>252</v>
      </c>
      <c r="D15" s="7" t="s">
        <v>259</v>
      </c>
      <c r="E15" s="6" t="s">
        <v>223</v>
      </c>
      <c r="F15" s="8" t="s">
        <v>224</v>
      </c>
      <c r="G15" s="7" t="s">
        <v>260</v>
      </c>
    </row>
    <row r="16" spans="1:7" x14ac:dyDescent="0.25">
      <c r="A16" s="9"/>
      <c r="B16" s="9"/>
      <c r="C16" s="9"/>
      <c r="D16" s="9"/>
      <c r="E16" s="9"/>
      <c r="F16" s="9"/>
      <c r="G16" s="9"/>
    </row>
    <row r="17" spans="1:7" x14ac:dyDescent="0.25">
      <c r="A17" s="5" t="s">
        <v>261</v>
      </c>
      <c r="B17" s="10"/>
      <c r="C17" s="10"/>
      <c r="D17" s="10"/>
      <c r="E17" s="10"/>
      <c r="F17" s="10"/>
      <c r="G17" s="10"/>
    </row>
    <row r="18" spans="1:7" x14ac:dyDescent="0.25">
      <c r="A18" s="10"/>
      <c r="B18" s="11" t="s">
        <v>262</v>
      </c>
      <c r="C18" s="11" t="s">
        <v>263</v>
      </c>
      <c r="D18" s="11" t="s">
        <v>264</v>
      </c>
      <c r="E18" s="10"/>
      <c r="F18" s="10"/>
      <c r="G18" s="10"/>
    </row>
    <row r="19" spans="1:7" x14ac:dyDescent="0.25">
      <c r="A19" s="10"/>
      <c r="B19" s="7" t="s">
        <v>265</v>
      </c>
      <c r="C19" s="7">
        <v>6</v>
      </c>
      <c r="D19" s="7">
        <v>6</v>
      </c>
      <c r="E19" s="10"/>
      <c r="F19" s="10"/>
      <c r="G19" s="10"/>
    </row>
    <row r="20" spans="1:7" x14ac:dyDescent="0.25">
      <c r="A20" s="10"/>
      <c r="B20" s="7" t="s">
        <v>205</v>
      </c>
      <c r="C20" s="7">
        <v>6</v>
      </c>
      <c r="D20" s="12">
        <f>'After Delivery'!C102</f>
        <v>88</v>
      </c>
      <c r="E20" s="10"/>
      <c r="F20" s="10"/>
      <c r="G20" s="10"/>
    </row>
    <row r="21" spans="1:7" x14ac:dyDescent="0.25">
      <c r="A21" s="10"/>
      <c r="B21" s="7" t="s">
        <v>206</v>
      </c>
      <c r="C21" s="7">
        <v>0</v>
      </c>
      <c r="D21" s="12">
        <f>'After Delivery'!C103</f>
        <v>26</v>
      </c>
      <c r="E21" s="10"/>
      <c r="F21" s="10"/>
      <c r="G21" s="10"/>
    </row>
    <row r="22" spans="1:7" x14ac:dyDescent="0.25">
      <c r="A22" s="10"/>
      <c r="B22" s="7" t="s">
        <v>266</v>
      </c>
      <c r="C22" s="7">
        <v>0</v>
      </c>
      <c r="D22" s="12">
        <f>'After Delivery'!C105</f>
        <v>22</v>
      </c>
      <c r="E22" s="10"/>
      <c r="F22" s="10"/>
      <c r="G22" s="10"/>
    </row>
    <row r="23" spans="1:7" x14ac:dyDescent="0.25">
      <c r="A23" s="10"/>
      <c r="B23" s="7" t="s">
        <v>267</v>
      </c>
      <c r="C23" s="7">
        <v>0</v>
      </c>
      <c r="D23" s="12">
        <f>'After Delivery'!C107</f>
        <v>6</v>
      </c>
      <c r="E23" s="10"/>
      <c r="F23" s="10"/>
      <c r="G23" s="10"/>
    </row>
    <row r="24" spans="1:7" x14ac:dyDescent="0.25">
      <c r="A24" s="10"/>
      <c r="B24" s="7" t="s">
        <v>268</v>
      </c>
      <c r="C24" s="7" t="s">
        <v>269</v>
      </c>
      <c r="D24" s="7" t="s">
        <v>270</v>
      </c>
      <c r="E24" s="10"/>
      <c r="F24" s="10"/>
      <c r="G24" s="10"/>
    </row>
    <row r="25" spans="1:7" x14ac:dyDescent="0.25">
      <c r="A25" s="10"/>
      <c r="B25" s="7" t="s">
        <v>271</v>
      </c>
      <c r="C25" s="7" t="s">
        <v>272</v>
      </c>
      <c r="D25" s="7" t="s">
        <v>273</v>
      </c>
      <c r="E25" s="10"/>
      <c r="F25" s="10"/>
      <c r="G25" s="10"/>
    </row>
    <row r="26" spans="1:7" x14ac:dyDescent="0.25">
      <c r="A26" s="10"/>
      <c r="B26" s="7" t="s">
        <v>274</v>
      </c>
      <c r="C26" s="7" t="s">
        <v>275</v>
      </c>
      <c r="D26" s="7" t="s">
        <v>276</v>
      </c>
      <c r="E26" s="10"/>
      <c r="F26" s="10"/>
      <c r="G26" s="10"/>
    </row>
    <row r="27" spans="1:7" x14ac:dyDescent="0.25">
      <c r="A27" s="9"/>
      <c r="B27" s="9"/>
      <c r="C27" s="9"/>
      <c r="D27" s="9"/>
      <c r="E27" s="9"/>
      <c r="F27" s="9"/>
      <c r="G27" s="9"/>
    </row>
    <row r="28" spans="1:7" x14ac:dyDescent="0.25">
      <c r="A28" s="9"/>
      <c r="B28" s="9"/>
      <c r="C28" s="9"/>
      <c r="D28" s="9"/>
      <c r="E28" s="9"/>
      <c r="F28" s="9"/>
      <c r="G28" s="9"/>
    </row>
    <row r="29" spans="1:7" x14ac:dyDescent="0.25">
      <c r="A29" s="9"/>
      <c r="B29" s="9"/>
      <c r="C29" s="9"/>
      <c r="D29" s="9"/>
      <c r="E29" s="9"/>
      <c r="F29" s="9"/>
      <c r="G29" s="9"/>
    </row>
    <row r="30" spans="1:7" x14ac:dyDescent="0.25">
      <c r="A30" s="9"/>
      <c r="B30" s="9"/>
      <c r="C30" s="9"/>
      <c r="D30" s="9"/>
      <c r="E30" s="9"/>
      <c r="F30" s="9"/>
      <c r="G30" s="9"/>
    </row>
    <row r="31" spans="1:7" x14ac:dyDescent="0.25">
      <c r="A31" s="9"/>
      <c r="B31" s="9"/>
      <c r="C31" s="9"/>
      <c r="D31" s="9"/>
      <c r="E31" s="9"/>
      <c r="F31" s="9"/>
      <c r="G31" s="9"/>
    </row>
    <row r="32" spans="1:7" x14ac:dyDescent="0.25">
      <c r="A32" s="9"/>
      <c r="B32" s="9"/>
      <c r="C32" s="9"/>
      <c r="D32" s="9"/>
      <c r="E32" s="9"/>
      <c r="F32" s="9"/>
      <c r="G32" s="9"/>
    </row>
  </sheetData>
  <mergeCells count="4">
    <mergeCell ref="A2:G2"/>
    <mergeCell ref="A1:G1"/>
    <mergeCell ref="A5:G5"/>
    <mergeCell ref="A12:G12"/>
  </mergeCells>
  <hyperlinks>
    <hyperlink ref="F6" r:id="rId1" xr:uid="{00000000-0004-0000-0000-000000000000}"/>
    <hyperlink ref="F7" r:id="rId2" xr:uid="{00000000-0004-0000-0000-000001000000}"/>
    <hyperlink ref="F8" r:id="rId3" xr:uid="{00000000-0004-0000-0000-000002000000}"/>
    <hyperlink ref="F9" r:id="rId4" xr:uid="{00000000-0004-0000-0000-000003000000}"/>
    <hyperlink ref="F10" r:id="rId5" xr:uid="{00000000-0004-0000-0000-000004000000}"/>
    <hyperlink ref="F11" r:id="rId6" xr:uid="{00000000-0004-0000-0000-000005000000}"/>
    <hyperlink ref="F13" r:id="rId7" xr:uid="{00000000-0004-0000-0000-000006000000}"/>
    <hyperlink ref="F14" r:id="rId8" xr:uid="{00000000-0004-0000-0000-000007000000}"/>
    <hyperlink ref="F15" r:id="rId9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1"/>
  <sheetViews>
    <sheetView workbookViewId="0">
      <pane ySplit="4" topLeftCell="A85" activePane="bottomLeft" state="frozen"/>
      <selection pane="bottomLeft" activeCell="F22" sqref="F22"/>
    </sheetView>
  </sheetViews>
  <sheetFormatPr defaultRowHeight="15" x14ac:dyDescent="0.25"/>
  <cols>
    <col min="1" max="1" width="5" customWidth="1"/>
    <col min="2" max="2" width="24" customWidth="1"/>
    <col min="3" max="3" width="52" customWidth="1"/>
    <col min="4" max="4" width="40" customWidth="1"/>
    <col min="5" max="5" width="70.28515625" customWidth="1"/>
    <col min="6" max="6" width="24" customWidth="1"/>
  </cols>
  <sheetData>
    <row r="1" spans="1:6" ht="20.25" customHeight="1" x14ac:dyDescent="0.3">
      <c r="A1" s="18" t="s">
        <v>0</v>
      </c>
      <c r="B1" s="14"/>
      <c r="C1" s="14"/>
      <c r="D1" s="14"/>
      <c r="E1" s="14"/>
      <c r="F1" s="14"/>
    </row>
    <row r="2" spans="1:6" x14ac:dyDescent="0.25">
      <c r="A2" s="13" t="s">
        <v>1</v>
      </c>
      <c r="B2" s="14"/>
      <c r="C2" s="14"/>
      <c r="D2" s="14"/>
      <c r="E2" s="14"/>
      <c r="F2" s="14"/>
    </row>
    <row r="4" spans="1:6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x14ac:dyDescent="0.25">
      <c r="A5" s="15" t="s">
        <v>8</v>
      </c>
      <c r="B5" s="16"/>
      <c r="C5" s="16"/>
      <c r="D5" s="16"/>
      <c r="E5" s="16"/>
      <c r="F5" s="17"/>
    </row>
    <row r="6" spans="1:6" x14ac:dyDescent="0.25">
      <c r="A6" s="6">
        <v>1</v>
      </c>
      <c r="B6" s="7" t="s">
        <v>9</v>
      </c>
      <c r="C6" s="8" t="s">
        <v>10</v>
      </c>
      <c r="D6" s="7" t="s">
        <v>11</v>
      </c>
      <c r="E6" s="7" t="s">
        <v>12</v>
      </c>
      <c r="F6" s="6" t="s">
        <v>13</v>
      </c>
    </row>
    <row r="7" spans="1:6" ht="25.5" customHeight="1" x14ac:dyDescent="0.25">
      <c r="A7" s="6">
        <v>2</v>
      </c>
      <c r="B7" s="7" t="s">
        <v>9</v>
      </c>
      <c r="C7" s="8" t="s">
        <v>14</v>
      </c>
      <c r="D7" s="7" t="s">
        <v>15</v>
      </c>
      <c r="E7" s="7" t="s">
        <v>12</v>
      </c>
      <c r="F7" s="6" t="s">
        <v>13</v>
      </c>
    </row>
    <row r="8" spans="1:6" x14ac:dyDescent="0.25">
      <c r="A8" s="6">
        <v>3</v>
      </c>
      <c r="B8" s="7" t="s">
        <v>9</v>
      </c>
      <c r="C8" s="8" t="s">
        <v>16</v>
      </c>
      <c r="D8" s="7" t="s">
        <v>17</v>
      </c>
      <c r="E8" s="7" t="s">
        <v>12</v>
      </c>
      <c r="F8" s="6" t="s">
        <v>13</v>
      </c>
    </row>
    <row r="9" spans="1:6" x14ac:dyDescent="0.25">
      <c r="A9" s="6">
        <v>4</v>
      </c>
      <c r="B9" s="7" t="s">
        <v>9</v>
      </c>
      <c r="C9" s="8" t="s">
        <v>18</v>
      </c>
      <c r="D9" s="7" t="s">
        <v>19</v>
      </c>
      <c r="E9" s="7" t="s">
        <v>20</v>
      </c>
      <c r="F9" s="6" t="s">
        <v>13</v>
      </c>
    </row>
    <row r="10" spans="1:6" x14ac:dyDescent="0.25">
      <c r="A10" s="15" t="s">
        <v>21</v>
      </c>
      <c r="B10" s="16"/>
      <c r="C10" s="16"/>
      <c r="D10" s="16"/>
      <c r="E10" s="16"/>
      <c r="F10" s="17"/>
    </row>
    <row r="11" spans="1:6" ht="25.5" customHeight="1" x14ac:dyDescent="0.25">
      <c r="A11" s="6">
        <v>5</v>
      </c>
      <c r="B11" s="7" t="s">
        <v>22</v>
      </c>
      <c r="C11" s="8" t="s">
        <v>23</v>
      </c>
      <c r="D11" s="7" t="s">
        <v>24</v>
      </c>
      <c r="E11" s="7" t="s">
        <v>12</v>
      </c>
      <c r="F11" s="6" t="s">
        <v>13</v>
      </c>
    </row>
    <row r="12" spans="1:6" ht="25.5" customHeight="1" x14ac:dyDescent="0.25">
      <c r="A12" s="6">
        <v>6</v>
      </c>
      <c r="B12" s="7" t="s">
        <v>22</v>
      </c>
      <c r="C12" s="8" t="s">
        <v>25</v>
      </c>
      <c r="D12" s="7" t="s">
        <v>26</v>
      </c>
      <c r="E12" s="7" t="s">
        <v>12</v>
      </c>
      <c r="F12" s="6" t="s">
        <v>13</v>
      </c>
    </row>
    <row r="13" spans="1:6" ht="25.5" customHeight="1" x14ac:dyDescent="0.25">
      <c r="A13" s="6">
        <v>7</v>
      </c>
      <c r="B13" s="7" t="s">
        <v>22</v>
      </c>
      <c r="C13" s="8" t="s">
        <v>27</v>
      </c>
      <c r="D13" s="7" t="s">
        <v>28</v>
      </c>
      <c r="E13" s="7" t="s">
        <v>12</v>
      </c>
      <c r="F13" s="6" t="s">
        <v>13</v>
      </c>
    </row>
    <row r="14" spans="1:6" ht="38.25" customHeight="1" x14ac:dyDescent="0.25">
      <c r="A14" s="6">
        <v>8</v>
      </c>
      <c r="B14" s="7" t="s">
        <v>22</v>
      </c>
      <c r="C14" s="8" t="s">
        <v>29</v>
      </c>
      <c r="D14" s="7" t="s">
        <v>30</v>
      </c>
      <c r="E14" s="7" t="s">
        <v>12</v>
      </c>
      <c r="F14" s="6" t="s">
        <v>13</v>
      </c>
    </row>
    <row r="15" spans="1:6" ht="25.5" customHeight="1" x14ac:dyDescent="0.25">
      <c r="A15" s="6">
        <v>9</v>
      </c>
      <c r="B15" s="7" t="s">
        <v>22</v>
      </c>
      <c r="C15" s="8" t="s">
        <v>31</v>
      </c>
      <c r="D15" s="7" t="s">
        <v>32</v>
      </c>
      <c r="E15" s="7" t="s">
        <v>12</v>
      </c>
      <c r="F15" s="6" t="s">
        <v>13</v>
      </c>
    </row>
    <row r="16" spans="1:6" ht="25.5" customHeight="1" x14ac:dyDescent="0.25">
      <c r="A16" s="6">
        <v>10</v>
      </c>
      <c r="B16" s="7" t="s">
        <v>22</v>
      </c>
      <c r="C16" s="8" t="s">
        <v>33</v>
      </c>
      <c r="D16" s="7" t="s">
        <v>34</v>
      </c>
      <c r="E16" s="7" t="s">
        <v>12</v>
      </c>
      <c r="F16" s="6" t="s">
        <v>13</v>
      </c>
    </row>
    <row r="17" spans="1:6" ht="25.5" customHeight="1" x14ac:dyDescent="0.25">
      <c r="A17" s="6">
        <v>11</v>
      </c>
      <c r="B17" s="7" t="s">
        <v>22</v>
      </c>
      <c r="C17" s="8" t="s">
        <v>35</v>
      </c>
      <c r="D17" s="7" t="s">
        <v>36</v>
      </c>
      <c r="E17" s="7" t="s">
        <v>12</v>
      </c>
      <c r="F17" s="6" t="s">
        <v>13</v>
      </c>
    </row>
    <row r="18" spans="1:6" ht="25.5" customHeight="1" x14ac:dyDescent="0.25">
      <c r="A18" s="6">
        <v>12</v>
      </c>
      <c r="B18" s="7" t="s">
        <v>22</v>
      </c>
      <c r="C18" s="8" t="s">
        <v>37</v>
      </c>
      <c r="D18" s="7" t="s">
        <v>38</v>
      </c>
      <c r="E18" s="7" t="s">
        <v>12</v>
      </c>
      <c r="F18" s="6" t="s">
        <v>13</v>
      </c>
    </row>
    <row r="19" spans="1:6" x14ac:dyDescent="0.25">
      <c r="A19" s="6">
        <v>13</v>
      </c>
      <c r="B19" s="7" t="s">
        <v>22</v>
      </c>
      <c r="C19" s="8" t="s">
        <v>39</v>
      </c>
      <c r="D19" s="7" t="s">
        <v>40</v>
      </c>
      <c r="E19" s="7" t="s">
        <v>12</v>
      </c>
      <c r="F19" s="6" t="s">
        <v>13</v>
      </c>
    </row>
    <row r="20" spans="1:6" ht="25.5" customHeight="1" x14ac:dyDescent="0.25">
      <c r="A20" s="6">
        <v>14</v>
      </c>
      <c r="B20" s="7" t="s">
        <v>22</v>
      </c>
      <c r="C20" s="8" t="s">
        <v>41</v>
      </c>
      <c r="D20" s="7" t="s">
        <v>42</v>
      </c>
      <c r="E20" s="7" t="s">
        <v>12</v>
      </c>
      <c r="F20" s="6" t="s">
        <v>13</v>
      </c>
    </row>
    <row r="21" spans="1:6" x14ac:dyDescent="0.25">
      <c r="A21" s="15" t="s">
        <v>43</v>
      </c>
      <c r="B21" s="16"/>
      <c r="C21" s="16"/>
      <c r="D21" s="16"/>
      <c r="E21" s="16"/>
      <c r="F21" s="17"/>
    </row>
    <row r="22" spans="1:6" ht="25.5" customHeight="1" x14ac:dyDescent="0.25">
      <c r="A22" s="6">
        <v>15</v>
      </c>
      <c r="B22" s="7" t="s">
        <v>44</v>
      </c>
      <c r="C22" s="8" t="s">
        <v>45</v>
      </c>
      <c r="D22" s="7" t="s">
        <v>46</v>
      </c>
      <c r="E22" s="7" t="s">
        <v>12</v>
      </c>
      <c r="F22" s="6" t="s">
        <v>13</v>
      </c>
    </row>
    <row r="23" spans="1:6" ht="25.5" customHeight="1" x14ac:dyDescent="0.25">
      <c r="A23" s="6">
        <v>16</v>
      </c>
      <c r="B23" s="7" t="s">
        <v>44</v>
      </c>
      <c r="C23" s="8" t="s">
        <v>47</v>
      </c>
      <c r="D23" s="7" t="s">
        <v>48</v>
      </c>
      <c r="E23" s="7" t="s">
        <v>12</v>
      </c>
      <c r="F23" s="6" t="s">
        <v>13</v>
      </c>
    </row>
    <row r="24" spans="1:6" x14ac:dyDescent="0.25">
      <c r="A24" s="6">
        <v>17</v>
      </c>
      <c r="B24" s="7" t="s">
        <v>44</v>
      </c>
      <c r="C24" s="8" t="s">
        <v>49</v>
      </c>
      <c r="D24" s="7" t="s">
        <v>50</v>
      </c>
      <c r="E24" s="7" t="s">
        <v>12</v>
      </c>
      <c r="F24" s="6" t="s">
        <v>13</v>
      </c>
    </row>
    <row r="25" spans="1:6" x14ac:dyDescent="0.25">
      <c r="A25" s="6">
        <v>18</v>
      </c>
      <c r="B25" s="7" t="s">
        <v>44</v>
      </c>
      <c r="C25" s="8" t="s">
        <v>51</v>
      </c>
      <c r="D25" s="7" t="s">
        <v>52</v>
      </c>
      <c r="E25" s="7" t="s">
        <v>12</v>
      </c>
      <c r="F25" s="6" t="s">
        <v>13</v>
      </c>
    </row>
    <row r="26" spans="1:6" ht="25.5" customHeight="1" x14ac:dyDescent="0.25">
      <c r="A26" s="6">
        <v>19</v>
      </c>
      <c r="B26" s="7" t="s">
        <v>44</v>
      </c>
      <c r="C26" s="8" t="s">
        <v>53</v>
      </c>
      <c r="D26" s="7" t="s">
        <v>54</v>
      </c>
      <c r="E26" s="7" t="s">
        <v>12</v>
      </c>
      <c r="F26" s="6" t="s">
        <v>13</v>
      </c>
    </row>
    <row r="27" spans="1:6" ht="25.5" customHeight="1" x14ac:dyDescent="0.25">
      <c r="A27" s="6">
        <v>20</v>
      </c>
      <c r="B27" s="7" t="s">
        <v>44</v>
      </c>
      <c r="C27" s="8" t="s">
        <v>55</v>
      </c>
      <c r="D27" s="7" t="s">
        <v>56</v>
      </c>
      <c r="E27" s="7" t="s">
        <v>12</v>
      </c>
      <c r="F27" s="6" t="s">
        <v>13</v>
      </c>
    </row>
    <row r="28" spans="1:6" x14ac:dyDescent="0.25">
      <c r="A28" s="15" t="s">
        <v>57</v>
      </c>
      <c r="B28" s="16"/>
      <c r="C28" s="16"/>
      <c r="D28" s="16"/>
      <c r="E28" s="16"/>
      <c r="F28" s="17"/>
    </row>
    <row r="29" spans="1:6" x14ac:dyDescent="0.25">
      <c r="A29" s="6">
        <v>21</v>
      </c>
      <c r="B29" s="7" t="s">
        <v>57</v>
      </c>
      <c r="C29" s="8" t="s">
        <v>58</v>
      </c>
      <c r="D29" s="7" t="s">
        <v>57</v>
      </c>
      <c r="E29" s="7" t="s">
        <v>12</v>
      </c>
      <c r="F29" s="6" t="s">
        <v>13</v>
      </c>
    </row>
    <row r="30" spans="1:6" x14ac:dyDescent="0.25">
      <c r="A30" s="6">
        <v>22</v>
      </c>
      <c r="B30" s="7" t="s">
        <v>57</v>
      </c>
      <c r="C30" s="8" t="s">
        <v>59</v>
      </c>
      <c r="D30" s="7" t="s">
        <v>60</v>
      </c>
      <c r="E30" s="7" t="s">
        <v>12</v>
      </c>
      <c r="F30" s="6" t="s">
        <v>13</v>
      </c>
    </row>
    <row r="31" spans="1:6" x14ac:dyDescent="0.25">
      <c r="A31" s="6">
        <v>23</v>
      </c>
      <c r="B31" s="7" t="s">
        <v>57</v>
      </c>
      <c r="C31" s="8" t="s">
        <v>61</v>
      </c>
      <c r="D31" s="7" t="s">
        <v>62</v>
      </c>
      <c r="E31" s="7" t="s">
        <v>63</v>
      </c>
      <c r="F31" s="6" t="s">
        <v>64</v>
      </c>
    </row>
    <row r="32" spans="1:6" x14ac:dyDescent="0.25">
      <c r="A32" s="15" t="s">
        <v>65</v>
      </c>
      <c r="B32" s="16"/>
      <c r="C32" s="16"/>
      <c r="D32" s="16"/>
      <c r="E32" s="16"/>
      <c r="F32" s="17"/>
    </row>
    <row r="33" spans="1:6" x14ac:dyDescent="0.25">
      <c r="A33" s="6">
        <v>24</v>
      </c>
      <c r="B33" s="7" t="s">
        <v>66</v>
      </c>
      <c r="C33" s="8" t="s">
        <v>67</v>
      </c>
      <c r="D33" s="7" t="s">
        <v>65</v>
      </c>
      <c r="E33" s="7" t="s">
        <v>12</v>
      </c>
      <c r="F33" s="6" t="s">
        <v>13</v>
      </c>
    </row>
    <row r="34" spans="1:6" x14ac:dyDescent="0.25">
      <c r="A34" s="6">
        <v>25</v>
      </c>
      <c r="B34" s="7" t="s">
        <v>68</v>
      </c>
      <c r="C34" s="8" t="s">
        <v>69</v>
      </c>
      <c r="D34" s="7" t="s">
        <v>70</v>
      </c>
      <c r="E34" s="7" t="s">
        <v>12</v>
      </c>
      <c r="F34" s="6" t="s">
        <v>13</v>
      </c>
    </row>
    <row r="35" spans="1:6" ht="25.5" customHeight="1" x14ac:dyDescent="0.25">
      <c r="A35" s="6">
        <v>26</v>
      </c>
      <c r="B35" s="7" t="s">
        <v>68</v>
      </c>
      <c r="C35" s="8" t="s">
        <v>71</v>
      </c>
      <c r="D35" s="7" t="s">
        <v>72</v>
      </c>
      <c r="E35" s="7" t="s">
        <v>12</v>
      </c>
      <c r="F35" s="6" t="s">
        <v>13</v>
      </c>
    </row>
    <row r="36" spans="1:6" ht="25.5" customHeight="1" x14ac:dyDescent="0.25">
      <c r="A36" s="6">
        <v>27</v>
      </c>
      <c r="B36" s="7" t="s">
        <v>68</v>
      </c>
      <c r="C36" s="8" t="s">
        <v>73</v>
      </c>
      <c r="D36" s="7" t="s">
        <v>74</v>
      </c>
      <c r="E36" s="7" t="s">
        <v>12</v>
      </c>
      <c r="F36" s="6" t="s">
        <v>13</v>
      </c>
    </row>
    <row r="37" spans="1:6" ht="25.5" customHeight="1" x14ac:dyDescent="0.25">
      <c r="A37" s="6">
        <v>28</v>
      </c>
      <c r="B37" s="7" t="s">
        <v>68</v>
      </c>
      <c r="C37" s="8" t="s">
        <v>75</v>
      </c>
      <c r="D37" s="7" t="s">
        <v>76</v>
      </c>
      <c r="E37" s="7" t="s">
        <v>12</v>
      </c>
      <c r="F37" s="6" t="s">
        <v>13</v>
      </c>
    </row>
    <row r="38" spans="1:6" ht="25.5" customHeight="1" x14ac:dyDescent="0.25">
      <c r="A38" s="6">
        <v>29</v>
      </c>
      <c r="B38" s="7" t="s">
        <v>68</v>
      </c>
      <c r="C38" s="8" t="s">
        <v>77</v>
      </c>
      <c r="D38" s="7" t="s">
        <v>78</v>
      </c>
      <c r="E38" s="7" t="s">
        <v>12</v>
      </c>
      <c r="F38" s="6" t="s">
        <v>13</v>
      </c>
    </row>
    <row r="39" spans="1:6" ht="25.5" customHeight="1" x14ac:dyDescent="0.25">
      <c r="A39" s="6">
        <v>30</v>
      </c>
      <c r="B39" s="7" t="s">
        <v>68</v>
      </c>
      <c r="C39" s="8" t="s">
        <v>79</v>
      </c>
      <c r="D39" s="7" t="s">
        <v>80</v>
      </c>
      <c r="E39" s="7" t="s">
        <v>12</v>
      </c>
      <c r="F39" s="6" t="s">
        <v>13</v>
      </c>
    </row>
    <row r="40" spans="1:6" ht="25.5" customHeight="1" x14ac:dyDescent="0.25">
      <c r="A40" s="6">
        <v>31</v>
      </c>
      <c r="B40" s="7" t="s">
        <v>68</v>
      </c>
      <c r="C40" s="8" t="s">
        <v>81</v>
      </c>
      <c r="D40" s="7" t="s">
        <v>82</v>
      </c>
      <c r="E40" s="7" t="s">
        <v>12</v>
      </c>
      <c r="F40" s="6" t="s">
        <v>13</v>
      </c>
    </row>
    <row r="41" spans="1:6" ht="25.5" customHeight="1" x14ac:dyDescent="0.25">
      <c r="A41" s="6">
        <v>32</v>
      </c>
      <c r="B41" s="7" t="s">
        <v>68</v>
      </c>
      <c r="C41" s="8" t="s">
        <v>83</v>
      </c>
      <c r="D41" s="7" t="s">
        <v>84</v>
      </c>
      <c r="E41" s="7" t="s">
        <v>12</v>
      </c>
      <c r="F41" s="6" t="s">
        <v>13</v>
      </c>
    </row>
    <row r="42" spans="1:6" ht="25.5" customHeight="1" x14ac:dyDescent="0.25">
      <c r="A42" s="6">
        <v>33</v>
      </c>
      <c r="B42" s="7" t="s">
        <v>68</v>
      </c>
      <c r="C42" s="8" t="s">
        <v>85</v>
      </c>
      <c r="D42" s="7" t="s">
        <v>86</v>
      </c>
      <c r="E42" s="7" t="s">
        <v>12</v>
      </c>
      <c r="F42" s="6" t="s">
        <v>13</v>
      </c>
    </row>
    <row r="43" spans="1:6" ht="25.5" customHeight="1" x14ac:dyDescent="0.25">
      <c r="A43" s="6">
        <v>34</v>
      </c>
      <c r="B43" s="7" t="s">
        <v>68</v>
      </c>
      <c r="C43" s="8" t="s">
        <v>87</v>
      </c>
      <c r="D43" s="7" t="s">
        <v>88</v>
      </c>
      <c r="E43" s="7" t="s">
        <v>12</v>
      </c>
      <c r="F43" s="6" t="s">
        <v>13</v>
      </c>
    </row>
    <row r="44" spans="1:6" x14ac:dyDescent="0.25">
      <c r="A44" s="6">
        <v>35</v>
      </c>
      <c r="B44" s="7" t="s">
        <v>68</v>
      </c>
      <c r="C44" s="8" t="s">
        <v>89</v>
      </c>
      <c r="D44" s="7" t="s">
        <v>90</v>
      </c>
      <c r="E44" s="7" t="s">
        <v>12</v>
      </c>
      <c r="F44" s="6" t="s">
        <v>13</v>
      </c>
    </row>
    <row r="45" spans="1:6" ht="25.5" customHeight="1" x14ac:dyDescent="0.25">
      <c r="A45" s="6">
        <v>36</v>
      </c>
      <c r="B45" s="7" t="s">
        <v>68</v>
      </c>
      <c r="C45" s="8" t="s">
        <v>91</v>
      </c>
      <c r="D45" s="7" t="s">
        <v>92</v>
      </c>
      <c r="E45" s="7" t="s">
        <v>12</v>
      </c>
      <c r="F45" s="6" t="s">
        <v>13</v>
      </c>
    </row>
    <row r="46" spans="1:6" ht="25.5" customHeight="1" x14ac:dyDescent="0.25">
      <c r="A46" s="6">
        <v>37</v>
      </c>
      <c r="B46" s="7" t="s">
        <v>68</v>
      </c>
      <c r="C46" s="8" t="s">
        <v>93</v>
      </c>
      <c r="D46" s="7" t="s">
        <v>94</v>
      </c>
      <c r="E46" s="7" t="s">
        <v>12</v>
      </c>
      <c r="F46" s="6" t="s">
        <v>13</v>
      </c>
    </row>
    <row r="47" spans="1:6" ht="25.5" customHeight="1" x14ac:dyDescent="0.25">
      <c r="A47" s="6">
        <v>38</v>
      </c>
      <c r="B47" s="7" t="s">
        <v>68</v>
      </c>
      <c r="C47" s="8" t="s">
        <v>95</v>
      </c>
      <c r="D47" s="7" t="s">
        <v>96</v>
      </c>
      <c r="E47" s="7" t="s">
        <v>12</v>
      </c>
      <c r="F47" s="6" t="s">
        <v>13</v>
      </c>
    </row>
    <row r="48" spans="1:6" ht="25.5" customHeight="1" x14ac:dyDescent="0.25">
      <c r="A48" s="6">
        <v>39</v>
      </c>
      <c r="B48" s="7" t="s">
        <v>68</v>
      </c>
      <c r="C48" s="8" t="s">
        <v>97</v>
      </c>
      <c r="D48" s="7" t="s">
        <v>98</v>
      </c>
      <c r="E48" s="7" t="s">
        <v>12</v>
      </c>
      <c r="F48" s="6" t="s">
        <v>13</v>
      </c>
    </row>
    <row r="49" spans="1:6" ht="25.5" customHeight="1" x14ac:dyDescent="0.25">
      <c r="A49" s="6">
        <v>40</v>
      </c>
      <c r="B49" s="7" t="s">
        <v>68</v>
      </c>
      <c r="C49" s="8" t="s">
        <v>99</v>
      </c>
      <c r="D49" s="7" t="s">
        <v>100</v>
      </c>
      <c r="E49" s="7" t="s">
        <v>12</v>
      </c>
      <c r="F49" s="6" t="s">
        <v>13</v>
      </c>
    </row>
    <row r="50" spans="1:6" ht="25.5" customHeight="1" x14ac:dyDescent="0.25">
      <c r="A50" s="6">
        <v>41</v>
      </c>
      <c r="B50" s="7" t="s">
        <v>68</v>
      </c>
      <c r="C50" s="8" t="s">
        <v>101</v>
      </c>
      <c r="D50" s="7" t="s">
        <v>102</v>
      </c>
      <c r="E50" s="7" t="s">
        <v>12</v>
      </c>
      <c r="F50" s="6" t="s">
        <v>13</v>
      </c>
    </row>
    <row r="51" spans="1:6" ht="25.5" customHeight="1" x14ac:dyDescent="0.25">
      <c r="A51" s="6">
        <v>42</v>
      </c>
      <c r="B51" s="7" t="s">
        <v>68</v>
      </c>
      <c r="C51" s="8" t="s">
        <v>103</v>
      </c>
      <c r="D51" s="7" t="s">
        <v>104</v>
      </c>
      <c r="E51" s="7" t="s">
        <v>12</v>
      </c>
      <c r="F51" s="6" t="s">
        <v>13</v>
      </c>
    </row>
    <row r="52" spans="1:6" ht="25.5" customHeight="1" x14ac:dyDescent="0.25">
      <c r="A52" s="6">
        <v>43</v>
      </c>
      <c r="B52" s="7" t="s">
        <v>68</v>
      </c>
      <c r="C52" s="8" t="s">
        <v>105</v>
      </c>
      <c r="D52" s="7" t="s">
        <v>106</v>
      </c>
      <c r="E52" s="7" t="s">
        <v>12</v>
      </c>
      <c r="F52" s="6" t="s">
        <v>13</v>
      </c>
    </row>
    <row r="53" spans="1:6" ht="25.5" customHeight="1" x14ac:dyDescent="0.25">
      <c r="A53" s="6">
        <v>44</v>
      </c>
      <c r="B53" s="7" t="s">
        <v>107</v>
      </c>
      <c r="C53" s="8" t="s">
        <v>108</v>
      </c>
      <c r="D53" s="7" t="s">
        <v>109</v>
      </c>
      <c r="E53" s="7" t="s">
        <v>12</v>
      </c>
      <c r="F53" s="6" t="s">
        <v>13</v>
      </c>
    </row>
    <row r="54" spans="1:6" ht="25.5" customHeight="1" x14ac:dyDescent="0.25">
      <c r="A54" s="6">
        <v>45</v>
      </c>
      <c r="B54" s="7" t="s">
        <v>107</v>
      </c>
      <c r="C54" s="8" t="s">
        <v>110</v>
      </c>
      <c r="D54" s="7" t="s">
        <v>111</v>
      </c>
      <c r="E54" s="7" t="s">
        <v>12</v>
      </c>
      <c r="F54" s="6" t="s">
        <v>13</v>
      </c>
    </row>
    <row r="55" spans="1:6" ht="25.5" customHeight="1" x14ac:dyDescent="0.25">
      <c r="A55" s="6">
        <v>46</v>
      </c>
      <c r="B55" s="7" t="s">
        <v>112</v>
      </c>
      <c r="C55" s="8" t="s">
        <v>113</v>
      </c>
      <c r="D55" s="7" t="s">
        <v>114</v>
      </c>
      <c r="E55" s="7" t="s">
        <v>12</v>
      </c>
      <c r="F55" s="6" t="s">
        <v>13</v>
      </c>
    </row>
    <row r="56" spans="1:6" x14ac:dyDescent="0.25">
      <c r="A56" s="6">
        <v>47</v>
      </c>
      <c r="B56" s="7" t="s">
        <v>112</v>
      </c>
      <c r="C56" s="8" t="s">
        <v>115</v>
      </c>
      <c r="D56" s="7" t="s">
        <v>116</v>
      </c>
      <c r="E56" s="7" t="s">
        <v>12</v>
      </c>
      <c r="F56" s="6" t="s">
        <v>13</v>
      </c>
    </row>
    <row r="57" spans="1:6" ht="25.5" customHeight="1" x14ac:dyDescent="0.25">
      <c r="A57" s="6">
        <v>48</v>
      </c>
      <c r="B57" s="7" t="s">
        <v>117</v>
      </c>
      <c r="C57" s="8" t="s">
        <v>118</v>
      </c>
      <c r="D57" s="7" t="s">
        <v>119</v>
      </c>
      <c r="E57" s="7" t="s">
        <v>12</v>
      </c>
      <c r="F57" s="6" t="s">
        <v>13</v>
      </c>
    </row>
    <row r="58" spans="1:6" ht="25.5" customHeight="1" x14ac:dyDescent="0.25">
      <c r="A58" s="6">
        <v>49</v>
      </c>
      <c r="B58" s="7" t="s">
        <v>117</v>
      </c>
      <c r="C58" s="8" t="s">
        <v>120</v>
      </c>
      <c r="D58" s="7" t="s">
        <v>121</v>
      </c>
      <c r="E58" s="7" t="s">
        <v>12</v>
      </c>
      <c r="F58" s="6" t="s">
        <v>13</v>
      </c>
    </row>
    <row r="59" spans="1:6" ht="25.5" customHeight="1" x14ac:dyDescent="0.25">
      <c r="A59" s="6">
        <v>50</v>
      </c>
      <c r="B59" s="7" t="s">
        <v>117</v>
      </c>
      <c r="C59" s="8" t="s">
        <v>122</v>
      </c>
      <c r="D59" s="7" t="s">
        <v>123</v>
      </c>
      <c r="E59" s="7" t="s">
        <v>12</v>
      </c>
      <c r="F59" s="6" t="s">
        <v>13</v>
      </c>
    </row>
    <row r="60" spans="1:6" ht="25.5" customHeight="1" x14ac:dyDescent="0.25">
      <c r="A60" s="6">
        <v>51</v>
      </c>
      <c r="B60" s="7" t="s">
        <v>124</v>
      </c>
      <c r="C60" s="8" t="s">
        <v>125</v>
      </c>
      <c r="D60" s="7" t="s">
        <v>126</v>
      </c>
      <c r="E60" s="7" t="s">
        <v>63</v>
      </c>
      <c r="F60" s="6" t="s">
        <v>64</v>
      </c>
    </row>
    <row r="61" spans="1:6" ht="25.5" customHeight="1" x14ac:dyDescent="0.25">
      <c r="A61" s="6">
        <v>52</v>
      </c>
      <c r="B61" s="7" t="s">
        <v>124</v>
      </c>
      <c r="C61" s="8" t="s">
        <v>127</v>
      </c>
      <c r="D61" s="7" t="s">
        <v>128</v>
      </c>
      <c r="E61" s="7" t="s">
        <v>63</v>
      </c>
      <c r="F61" s="6" t="s">
        <v>64</v>
      </c>
    </row>
    <row r="62" spans="1:6" ht="25.5" customHeight="1" x14ac:dyDescent="0.25">
      <c r="A62" s="6">
        <v>53</v>
      </c>
      <c r="B62" s="7" t="s">
        <v>124</v>
      </c>
      <c r="C62" s="8" t="s">
        <v>129</v>
      </c>
      <c r="D62" s="7" t="s">
        <v>130</v>
      </c>
      <c r="E62" s="7" t="s">
        <v>63</v>
      </c>
      <c r="F62" s="6" t="s">
        <v>64</v>
      </c>
    </row>
    <row r="63" spans="1:6" ht="25.5" customHeight="1" x14ac:dyDescent="0.25">
      <c r="A63" s="6">
        <v>54</v>
      </c>
      <c r="B63" s="7" t="s">
        <v>124</v>
      </c>
      <c r="C63" s="8" t="s">
        <v>131</v>
      </c>
      <c r="D63" s="7" t="s">
        <v>132</v>
      </c>
      <c r="E63" s="7" t="s">
        <v>63</v>
      </c>
      <c r="F63" s="6" t="s">
        <v>64</v>
      </c>
    </row>
    <row r="64" spans="1:6" x14ac:dyDescent="0.25">
      <c r="A64" s="6">
        <v>55</v>
      </c>
      <c r="B64" s="7" t="s">
        <v>124</v>
      </c>
      <c r="C64" s="8" t="s">
        <v>133</v>
      </c>
      <c r="D64" s="7" t="s">
        <v>134</v>
      </c>
      <c r="E64" s="7" t="s">
        <v>63</v>
      </c>
      <c r="F64" s="6" t="s">
        <v>64</v>
      </c>
    </row>
    <row r="65" spans="1:6" ht="25.5" customHeight="1" x14ac:dyDescent="0.25">
      <c r="A65" s="6">
        <v>56</v>
      </c>
      <c r="B65" s="7" t="s">
        <v>124</v>
      </c>
      <c r="C65" s="8" t="s">
        <v>135</v>
      </c>
      <c r="D65" s="7" t="s">
        <v>136</v>
      </c>
      <c r="E65" s="7" t="s">
        <v>63</v>
      </c>
      <c r="F65" s="6" t="s">
        <v>64</v>
      </c>
    </row>
    <row r="66" spans="1:6" ht="25.5" customHeight="1" x14ac:dyDescent="0.25">
      <c r="A66" s="6">
        <v>57</v>
      </c>
      <c r="B66" s="7" t="s">
        <v>124</v>
      </c>
      <c r="C66" s="8" t="s">
        <v>137</v>
      </c>
      <c r="D66" s="7" t="s">
        <v>40</v>
      </c>
      <c r="E66" s="7" t="s">
        <v>63</v>
      </c>
      <c r="F66" s="6" t="s">
        <v>64</v>
      </c>
    </row>
    <row r="67" spans="1:6" ht="25.5" customHeight="1" x14ac:dyDescent="0.25">
      <c r="A67" s="6">
        <v>58</v>
      </c>
      <c r="B67" s="7" t="s">
        <v>124</v>
      </c>
      <c r="C67" s="8" t="s">
        <v>138</v>
      </c>
      <c r="D67" s="7" t="s">
        <v>139</v>
      </c>
      <c r="E67" s="7" t="s">
        <v>63</v>
      </c>
      <c r="F67" s="6" t="s">
        <v>64</v>
      </c>
    </row>
    <row r="68" spans="1:6" ht="25.5" customHeight="1" x14ac:dyDescent="0.25">
      <c r="A68" s="6">
        <v>59</v>
      </c>
      <c r="B68" s="7" t="s">
        <v>124</v>
      </c>
      <c r="C68" s="8" t="s">
        <v>140</v>
      </c>
      <c r="D68" s="7" t="s">
        <v>141</v>
      </c>
      <c r="E68" s="7" t="s">
        <v>63</v>
      </c>
      <c r="F68" s="6" t="s">
        <v>64</v>
      </c>
    </row>
    <row r="69" spans="1:6" ht="25.5" customHeight="1" x14ac:dyDescent="0.25">
      <c r="A69" s="6">
        <v>60</v>
      </c>
      <c r="B69" s="7" t="s">
        <v>124</v>
      </c>
      <c r="C69" s="8" t="s">
        <v>142</v>
      </c>
      <c r="D69" s="7" t="s">
        <v>143</v>
      </c>
      <c r="E69" s="7" t="s">
        <v>63</v>
      </c>
      <c r="F69" s="6" t="s">
        <v>64</v>
      </c>
    </row>
    <row r="70" spans="1:6" x14ac:dyDescent="0.25">
      <c r="A70" s="6">
        <v>61</v>
      </c>
      <c r="B70" s="7" t="s">
        <v>124</v>
      </c>
      <c r="C70" s="8" t="s">
        <v>144</v>
      </c>
      <c r="D70" s="7" t="s">
        <v>145</v>
      </c>
      <c r="E70" s="7" t="s">
        <v>63</v>
      </c>
      <c r="F70" s="6" t="s">
        <v>64</v>
      </c>
    </row>
    <row r="71" spans="1:6" x14ac:dyDescent="0.25">
      <c r="A71" s="15" t="s">
        <v>146</v>
      </c>
      <c r="B71" s="16"/>
      <c r="C71" s="16"/>
      <c r="D71" s="16"/>
      <c r="E71" s="16"/>
      <c r="F71" s="17"/>
    </row>
    <row r="72" spans="1:6" x14ac:dyDescent="0.25">
      <c r="A72" s="6">
        <v>62</v>
      </c>
      <c r="B72" s="7" t="s">
        <v>147</v>
      </c>
      <c r="C72" s="8" t="s">
        <v>148</v>
      </c>
      <c r="D72" s="7" t="s">
        <v>147</v>
      </c>
      <c r="E72" s="7" t="s">
        <v>12</v>
      </c>
      <c r="F72" s="6" t="s">
        <v>13</v>
      </c>
    </row>
    <row r="73" spans="1:6" ht="25.5" customHeight="1" x14ac:dyDescent="0.25">
      <c r="A73" s="6">
        <v>63</v>
      </c>
      <c r="B73" s="7" t="s">
        <v>147</v>
      </c>
      <c r="C73" s="8" t="s">
        <v>149</v>
      </c>
      <c r="D73" s="7" t="s">
        <v>150</v>
      </c>
      <c r="E73" s="7" t="s">
        <v>12</v>
      </c>
      <c r="F73" s="6" t="s">
        <v>13</v>
      </c>
    </row>
    <row r="74" spans="1:6" x14ac:dyDescent="0.25">
      <c r="A74" s="6">
        <v>64</v>
      </c>
      <c r="B74" s="7" t="s">
        <v>147</v>
      </c>
      <c r="C74" s="8" t="s">
        <v>151</v>
      </c>
      <c r="D74" s="7" t="s">
        <v>152</v>
      </c>
      <c r="E74" s="7" t="s">
        <v>12</v>
      </c>
      <c r="F74" s="6" t="s">
        <v>13</v>
      </c>
    </row>
    <row r="75" spans="1:6" ht="25.5" customHeight="1" x14ac:dyDescent="0.25">
      <c r="A75" s="6">
        <v>65</v>
      </c>
      <c r="B75" s="7" t="s">
        <v>147</v>
      </c>
      <c r="C75" s="8" t="s">
        <v>153</v>
      </c>
      <c r="D75" s="7" t="s">
        <v>154</v>
      </c>
      <c r="E75" s="7" t="s">
        <v>12</v>
      </c>
      <c r="F75" s="6" t="s">
        <v>13</v>
      </c>
    </row>
    <row r="76" spans="1:6" x14ac:dyDescent="0.25">
      <c r="A76" s="15" t="s">
        <v>155</v>
      </c>
      <c r="B76" s="16"/>
      <c r="C76" s="16"/>
      <c r="D76" s="16"/>
      <c r="E76" s="16"/>
      <c r="F76" s="17"/>
    </row>
    <row r="77" spans="1:6" x14ac:dyDescent="0.25">
      <c r="A77" s="6">
        <v>66</v>
      </c>
      <c r="B77" s="7" t="s">
        <v>156</v>
      </c>
      <c r="C77" s="8" t="s">
        <v>157</v>
      </c>
      <c r="D77" s="7" t="s">
        <v>156</v>
      </c>
      <c r="E77" s="7" t="s">
        <v>12</v>
      </c>
      <c r="F77" s="6" t="s">
        <v>13</v>
      </c>
    </row>
    <row r="78" spans="1:6" ht="25.5" customHeight="1" x14ac:dyDescent="0.25">
      <c r="A78" s="6">
        <v>67</v>
      </c>
      <c r="B78" s="7" t="s">
        <v>158</v>
      </c>
      <c r="C78" s="8" t="s">
        <v>159</v>
      </c>
      <c r="D78" s="7" t="s">
        <v>160</v>
      </c>
      <c r="E78" s="7" t="s">
        <v>161</v>
      </c>
      <c r="F78" s="6" t="s">
        <v>13</v>
      </c>
    </row>
    <row r="79" spans="1:6" ht="25.5" customHeight="1" x14ac:dyDescent="0.25">
      <c r="A79" s="6">
        <v>68</v>
      </c>
      <c r="B79" s="7" t="s">
        <v>158</v>
      </c>
      <c r="C79" s="8" t="s">
        <v>162</v>
      </c>
      <c r="D79" s="7" t="s">
        <v>163</v>
      </c>
      <c r="E79" s="7" t="s">
        <v>161</v>
      </c>
      <c r="F79" s="6" t="s">
        <v>13</v>
      </c>
    </row>
    <row r="80" spans="1:6" ht="25.5" customHeight="1" x14ac:dyDescent="0.25">
      <c r="A80" s="6">
        <v>69</v>
      </c>
      <c r="B80" s="7" t="s">
        <v>158</v>
      </c>
      <c r="C80" s="8" t="s">
        <v>164</v>
      </c>
      <c r="D80" s="7" t="s">
        <v>165</v>
      </c>
      <c r="E80" s="7" t="s">
        <v>161</v>
      </c>
      <c r="F80" s="6" t="s">
        <v>13</v>
      </c>
    </row>
    <row r="81" spans="1:6" ht="25.5" customHeight="1" x14ac:dyDescent="0.25">
      <c r="A81" s="6">
        <v>70</v>
      </c>
      <c r="B81" s="7" t="s">
        <v>158</v>
      </c>
      <c r="C81" s="8" t="s">
        <v>166</v>
      </c>
      <c r="D81" s="7" t="s">
        <v>167</v>
      </c>
      <c r="E81" s="7" t="s">
        <v>161</v>
      </c>
      <c r="F81" s="6" t="s">
        <v>13</v>
      </c>
    </row>
    <row r="82" spans="1:6" ht="25.5" customHeight="1" x14ac:dyDescent="0.25">
      <c r="A82" s="6">
        <v>71</v>
      </c>
      <c r="B82" s="7" t="s">
        <v>158</v>
      </c>
      <c r="C82" s="8" t="s">
        <v>168</v>
      </c>
      <c r="D82" s="7" t="s">
        <v>169</v>
      </c>
      <c r="E82" s="7" t="s">
        <v>161</v>
      </c>
      <c r="F82" s="6" t="s">
        <v>13</v>
      </c>
    </row>
    <row r="83" spans="1:6" ht="25.5" customHeight="1" x14ac:dyDescent="0.25">
      <c r="A83" s="6">
        <v>72</v>
      </c>
      <c r="B83" s="7" t="s">
        <v>158</v>
      </c>
      <c r="C83" s="8" t="s">
        <v>170</v>
      </c>
      <c r="D83" s="7" t="s">
        <v>171</v>
      </c>
      <c r="E83" s="7" t="s">
        <v>161</v>
      </c>
      <c r="F83" s="6" t="s">
        <v>13</v>
      </c>
    </row>
    <row r="84" spans="1:6" ht="25.5" customHeight="1" x14ac:dyDescent="0.25">
      <c r="A84" s="6">
        <v>73</v>
      </c>
      <c r="B84" s="7" t="s">
        <v>158</v>
      </c>
      <c r="C84" s="8" t="s">
        <v>172</v>
      </c>
      <c r="D84" s="7" t="s">
        <v>173</v>
      </c>
      <c r="E84" s="7" t="s">
        <v>161</v>
      </c>
      <c r="F84" s="6" t="s">
        <v>13</v>
      </c>
    </row>
    <row r="85" spans="1:6" ht="25.5" customHeight="1" x14ac:dyDescent="0.25">
      <c r="A85" s="6">
        <v>74</v>
      </c>
      <c r="B85" s="7" t="s">
        <v>158</v>
      </c>
      <c r="C85" s="8" t="s">
        <v>174</v>
      </c>
      <c r="D85" s="7" t="s">
        <v>175</v>
      </c>
      <c r="E85" s="7" t="s">
        <v>161</v>
      </c>
      <c r="F85" s="6" t="s">
        <v>13</v>
      </c>
    </row>
    <row r="86" spans="1:6" ht="25.5" customHeight="1" x14ac:dyDescent="0.25">
      <c r="A86" s="6">
        <v>75</v>
      </c>
      <c r="B86" s="7" t="s">
        <v>158</v>
      </c>
      <c r="C86" s="8" t="s">
        <v>176</v>
      </c>
      <c r="D86" s="7" t="s">
        <v>177</v>
      </c>
      <c r="E86" s="7" t="s">
        <v>161</v>
      </c>
      <c r="F86" s="6" t="s">
        <v>13</v>
      </c>
    </row>
    <row r="87" spans="1:6" ht="25.5" customHeight="1" x14ac:dyDescent="0.25">
      <c r="A87" s="6">
        <v>76</v>
      </c>
      <c r="B87" s="7" t="s">
        <v>158</v>
      </c>
      <c r="C87" s="8" t="s">
        <v>178</v>
      </c>
      <c r="D87" s="7" t="s">
        <v>179</v>
      </c>
      <c r="E87" s="7" t="s">
        <v>161</v>
      </c>
      <c r="F87" s="6" t="s">
        <v>13</v>
      </c>
    </row>
    <row r="88" spans="1:6" ht="25.5" customHeight="1" x14ac:dyDescent="0.25">
      <c r="A88" s="6">
        <v>77</v>
      </c>
      <c r="B88" s="7" t="s">
        <v>158</v>
      </c>
      <c r="C88" s="8" t="s">
        <v>180</v>
      </c>
      <c r="D88" s="7" t="s">
        <v>181</v>
      </c>
      <c r="E88" s="7" t="s">
        <v>161</v>
      </c>
      <c r="F88" s="6" t="s">
        <v>13</v>
      </c>
    </row>
    <row r="89" spans="1:6" ht="25.5" customHeight="1" x14ac:dyDescent="0.25">
      <c r="A89" s="6">
        <v>78</v>
      </c>
      <c r="B89" s="7" t="s">
        <v>158</v>
      </c>
      <c r="C89" s="8" t="s">
        <v>182</v>
      </c>
      <c r="D89" s="7" t="s">
        <v>183</v>
      </c>
      <c r="E89" s="7" t="s">
        <v>161</v>
      </c>
      <c r="F89" s="6" t="s">
        <v>13</v>
      </c>
    </row>
    <row r="90" spans="1:6" ht="25.5" customHeight="1" x14ac:dyDescent="0.25">
      <c r="A90" s="6">
        <v>79</v>
      </c>
      <c r="B90" s="7" t="s">
        <v>158</v>
      </c>
      <c r="C90" s="8" t="s">
        <v>184</v>
      </c>
      <c r="D90" s="7" t="s">
        <v>185</v>
      </c>
      <c r="E90" s="7" t="s">
        <v>161</v>
      </c>
      <c r="F90" s="6" t="s">
        <v>13</v>
      </c>
    </row>
    <row r="91" spans="1:6" ht="25.5" customHeight="1" x14ac:dyDescent="0.25">
      <c r="A91" s="6">
        <v>80</v>
      </c>
      <c r="B91" s="7" t="s">
        <v>158</v>
      </c>
      <c r="C91" s="8" t="s">
        <v>186</v>
      </c>
      <c r="D91" s="7" t="s">
        <v>187</v>
      </c>
      <c r="E91" s="7" t="s">
        <v>161</v>
      </c>
      <c r="F91" s="6" t="s">
        <v>13</v>
      </c>
    </row>
    <row r="92" spans="1:6" ht="25.5" customHeight="1" x14ac:dyDescent="0.25">
      <c r="A92" s="6">
        <v>81</v>
      </c>
      <c r="B92" s="7" t="s">
        <v>158</v>
      </c>
      <c r="C92" s="8" t="s">
        <v>188</v>
      </c>
      <c r="D92" s="7" t="s">
        <v>189</v>
      </c>
      <c r="E92" s="7" t="s">
        <v>161</v>
      </c>
      <c r="F92" s="6" t="s">
        <v>13</v>
      </c>
    </row>
    <row r="93" spans="1:6" ht="25.5" customHeight="1" x14ac:dyDescent="0.25">
      <c r="A93" s="6">
        <v>82</v>
      </c>
      <c r="B93" s="7" t="s">
        <v>158</v>
      </c>
      <c r="C93" s="8" t="s">
        <v>190</v>
      </c>
      <c r="D93" s="7" t="s">
        <v>191</v>
      </c>
      <c r="E93" s="7" t="s">
        <v>161</v>
      </c>
      <c r="F93" s="6" t="s">
        <v>13</v>
      </c>
    </row>
    <row r="94" spans="1:6" ht="25.5" customHeight="1" x14ac:dyDescent="0.25">
      <c r="A94" s="6">
        <v>83</v>
      </c>
      <c r="B94" s="7" t="s">
        <v>158</v>
      </c>
      <c r="C94" s="8" t="s">
        <v>192</v>
      </c>
      <c r="D94" s="7" t="s">
        <v>193</v>
      </c>
      <c r="E94" s="7" t="s">
        <v>161</v>
      </c>
      <c r="F94" s="6" t="s">
        <v>13</v>
      </c>
    </row>
    <row r="95" spans="1:6" ht="25.5" customHeight="1" x14ac:dyDescent="0.25">
      <c r="A95" s="6">
        <v>84</v>
      </c>
      <c r="B95" s="7" t="s">
        <v>158</v>
      </c>
      <c r="C95" s="8" t="s">
        <v>194</v>
      </c>
      <c r="D95" s="7" t="s">
        <v>195</v>
      </c>
      <c r="E95" s="7" t="s">
        <v>161</v>
      </c>
      <c r="F95" s="6" t="s">
        <v>13</v>
      </c>
    </row>
    <row r="96" spans="1:6" ht="25.5" customHeight="1" x14ac:dyDescent="0.25">
      <c r="A96" s="6">
        <v>85</v>
      </c>
      <c r="B96" s="7" t="s">
        <v>158</v>
      </c>
      <c r="C96" s="8" t="s">
        <v>196</v>
      </c>
      <c r="D96" s="7" t="s">
        <v>197</v>
      </c>
      <c r="E96" s="7" t="s">
        <v>161</v>
      </c>
      <c r="F96" s="6" t="s">
        <v>13</v>
      </c>
    </row>
    <row r="97" spans="1:6" ht="25.5" customHeight="1" x14ac:dyDescent="0.25">
      <c r="A97" s="6">
        <v>86</v>
      </c>
      <c r="B97" s="7" t="s">
        <v>158</v>
      </c>
      <c r="C97" s="8" t="s">
        <v>198</v>
      </c>
      <c r="D97" s="7" t="s">
        <v>199</v>
      </c>
      <c r="E97" s="7" t="s">
        <v>161</v>
      </c>
      <c r="F97" s="6" t="s">
        <v>13</v>
      </c>
    </row>
    <row r="98" spans="1:6" ht="25.5" customHeight="1" x14ac:dyDescent="0.25">
      <c r="A98" s="6">
        <v>87</v>
      </c>
      <c r="B98" s="7" t="s">
        <v>158</v>
      </c>
      <c r="C98" s="8" t="s">
        <v>200</v>
      </c>
      <c r="D98" s="7" t="s">
        <v>201</v>
      </c>
      <c r="E98" s="7" t="s">
        <v>161</v>
      </c>
      <c r="F98" s="6" t="s">
        <v>13</v>
      </c>
    </row>
    <row r="99" spans="1:6" ht="25.5" customHeight="1" x14ac:dyDescent="0.25">
      <c r="A99" s="6">
        <v>88</v>
      </c>
      <c r="B99" s="7" t="s">
        <v>158</v>
      </c>
      <c r="C99" s="8" t="s">
        <v>202</v>
      </c>
      <c r="D99" s="7" t="s">
        <v>203</v>
      </c>
      <c r="E99" s="7" t="s">
        <v>161</v>
      </c>
      <c r="F99" s="6" t="s">
        <v>13</v>
      </c>
    </row>
    <row r="100" spans="1:6" x14ac:dyDescent="0.25">
      <c r="A100" s="9"/>
      <c r="B100" s="9"/>
      <c r="C100" s="9"/>
      <c r="D100" s="9"/>
      <c r="E100" s="9"/>
      <c r="F100" s="9"/>
    </row>
    <row r="101" spans="1:6" x14ac:dyDescent="0.25">
      <c r="A101" s="4"/>
      <c r="B101" s="5" t="s">
        <v>204</v>
      </c>
      <c r="C101" s="4"/>
      <c r="D101" s="4"/>
      <c r="E101" s="4"/>
      <c r="F101" s="4"/>
    </row>
    <row r="102" spans="1:6" x14ac:dyDescent="0.25">
      <c r="A102" s="4"/>
      <c r="B102" s="2" t="s">
        <v>205</v>
      </c>
      <c r="C102" s="3">
        <f>COUNTIF(C5:C99,"https://*")</f>
        <v>88</v>
      </c>
      <c r="D102" s="4"/>
      <c r="E102" s="4"/>
      <c r="F102" s="4"/>
    </row>
    <row r="103" spans="1:6" x14ac:dyDescent="0.25">
      <c r="A103" s="4"/>
      <c r="B103" s="2" t="s">
        <v>206</v>
      </c>
      <c r="C103" s="3">
        <f>COUNTIF(B5:B99,"Product — sales page")+COUNTIF(B5:B99,"Bundle — sales page")+COUNTIF(B5:B99,"Free series")+COUNTIF(B5:B99,"Free program")</f>
        <v>26</v>
      </c>
      <c r="D103" s="4"/>
      <c r="E103" s="4"/>
      <c r="F103" s="4"/>
    </row>
    <row r="104" spans="1:6" x14ac:dyDescent="0.25">
      <c r="A104" s="4"/>
      <c r="B104" s="2" t="s">
        <v>207</v>
      </c>
      <c r="C104" s="3">
        <f>COUNTIF(F5:F99,"Placeholder Page")</f>
        <v>12</v>
      </c>
      <c r="D104" s="4"/>
      <c r="E104" s="4"/>
      <c r="F104" s="4"/>
    </row>
    <row r="105" spans="1:6" x14ac:dyDescent="0.25">
      <c r="A105" s="4"/>
      <c r="B105" s="2" t="s">
        <v>208</v>
      </c>
      <c r="C105" s="3">
        <f>COUNTIF(B5:B99,"Article")</f>
        <v>22</v>
      </c>
      <c r="D105" s="4"/>
      <c r="E105" s="4"/>
      <c r="F105" s="4"/>
    </row>
    <row r="106" spans="1:6" x14ac:dyDescent="0.25">
      <c r="A106" s="4"/>
      <c r="B106" s="2" t="s">
        <v>209</v>
      </c>
      <c r="C106" s="3">
        <f>COUNTIF(B5:B99,"Ideas &amp; Models chapter")</f>
        <v>10</v>
      </c>
      <c r="D106" s="4"/>
      <c r="E106" s="4"/>
      <c r="F106" s="4"/>
    </row>
    <row r="107" spans="1:6" x14ac:dyDescent="0.25">
      <c r="A107" s="4"/>
      <c r="B107" s="2" t="s">
        <v>210</v>
      </c>
      <c r="C107" s="3">
        <f>COUNTIF(Integrations!B5:B14,"Integration")</f>
        <v>6</v>
      </c>
      <c r="D107" s="4"/>
      <c r="E107" s="4"/>
      <c r="F107" s="4"/>
    </row>
    <row r="108" spans="1:6" x14ac:dyDescent="0.25">
      <c r="A108" s="9"/>
      <c r="B108" s="9"/>
      <c r="C108" s="9"/>
      <c r="D108" s="9"/>
      <c r="E108" s="9"/>
      <c r="F108" s="9"/>
    </row>
    <row r="109" spans="1:6" x14ac:dyDescent="0.25">
      <c r="A109" s="9"/>
      <c r="B109" s="9"/>
      <c r="C109" s="9"/>
      <c r="D109" s="9"/>
      <c r="E109" s="9"/>
      <c r="F109" s="9"/>
    </row>
    <row r="110" spans="1:6" x14ac:dyDescent="0.25">
      <c r="A110" s="9"/>
      <c r="B110" s="9"/>
      <c r="C110" s="9"/>
      <c r="D110" s="9"/>
      <c r="E110" s="9"/>
      <c r="F110" s="9"/>
    </row>
    <row r="111" spans="1:6" x14ac:dyDescent="0.25">
      <c r="A111" s="9"/>
      <c r="B111" s="9"/>
      <c r="C111" s="9"/>
      <c r="D111" s="9"/>
      <c r="E111" s="9"/>
      <c r="F111" s="9"/>
    </row>
    <row r="112" spans="1:6" x14ac:dyDescent="0.25">
      <c r="A112" s="9"/>
      <c r="B112" s="9"/>
      <c r="C112" s="9"/>
      <c r="D112" s="9"/>
      <c r="E112" s="9"/>
      <c r="F112" s="9"/>
    </row>
    <row r="113" spans="1:6" x14ac:dyDescent="0.25">
      <c r="A113" s="9"/>
      <c r="B113" s="9"/>
      <c r="C113" s="9"/>
      <c r="D113" s="9"/>
      <c r="E113" s="9"/>
      <c r="F113" s="9"/>
    </row>
    <row r="114" spans="1:6" x14ac:dyDescent="0.25">
      <c r="A114" s="9"/>
      <c r="B114" s="9"/>
      <c r="C114" s="9"/>
      <c r="D114" s="9"/>
      <c r="E114" s="9"/>
      <c r="F114" s="9"/>
    </row>
    <row r="115" spans="1:6" x14ac:dyDescent="0.25">
      <c r="A115" s="9"/>
      <c r="B115" s="9"/>
      <c r="C115" s="9"/>
      <c r="D115" s="9"/>
      <c r="E115" s="9"/>
      <c r="F115" s="9"/>
    </row>
    <row r="116" spans="1:6" x14ac:dyDescent="0.25">
      <c r="A116" s="9"/>
      <c r="B116" s="9"/>
      <c r="C116" s="9"/>
      <c r="D116" s="9"/>
      <c r="E116" s="9"/>
      <c r="F116" s="9"/>
    </row>
    <row r="117" spans="1:6" x14ac:dyDescent="0.25">
      <c r="A117" s="9"/>
      <c r="B117" s="9"/>
      <c r="C117" s="9"/>
      <c r="D117" s="9"/>
      <c r="E117" s="9"/>
      <c r="F117" s="9"/>
    </row>
    <row r="118" spans="1:6" x14ac:dyDescent="0.25">
      <c r="A118" s="9"/>
      <c r="B118" s="9"/>
      <c r="C118" s="9"/>
      <c r="D118" s="9"/>
      <c r="E118" s="9"/>
      <c r="F118" s="9"/>
    </row>
    <row r="119" spans="1:6" x14ac:dyDescent="0.25">
      <c r="A119" s="9"/>
      <c r="B119" s="9"/>
      <c r="C119" s="9"/>
      <c r="D119" s="9"/>
      <c r="E119" s="9"/>
      <c r="F119" s="9"/>
    </row>
    <row r="120" spans="1:6" x14ac:dyDescent="0.25">
      <c r="A120" s="9"/>
      <c r="B120" s="9"/>
      <c r="C120" s="9"/>
      <c r="D120" s="9"/>
      <c r="E120" s="9"/>
      <c r="F120" s="9"/>
    </row>
    <row r="121" spans="1:6" x14ac:dyDescent="0.25">
      <c r="A121" s="9"/>
      <c r="B121" s="9"/>
      <c r="C121" s="9"/>
      <c r="D121" s="9"/>
      <c r="E121" s="9"/>
      <c r="F121" s="9"/>
    </row>
    <row r="122" spans="1:6" x14ac:dyDescent="0.25">
      <c r="A122" s="9"/>
      <c r="B122" s="9"/>
      <c r="C122" s="9"/>
      <c r="D122" s="9"/>
      <c r="E122" s="9"/>
      <c r="F122" s="9"/>
    </row>
    <row r="123" spans="1:6" x14ac:dyDescent="0.25">
      <c r="A123" s="9"/>
      <c r="B123" s="9"/>
      <c r="C123" s="9"/>
      <c r="D123" s="9"/>
      <c r="E123" s="9"/>
      <c r="F123" s="9"/>
    </row>
    <row r="124" spans="1:6" x14ac:dyDescent="0.25">
      <c r="A124" s="9"/>
      <c r="B124" s="9"/>
      <c r="C124" s="9"/>
      <c r="D124" s="9"/>
      <c r="E124" s="9"/>
      <c r="F124" s="9"/>
    </row>
    <row r="125" spans="1:6" x14ac:dyDescent="0.25">
      <c r="A125" s="9"/>
      <c r="B125" s="9"/>
      <c r="C125" s="9"/>
      <c r="D125" s="9"/>
      <c r="E125" s="9"/>
      <c r="F125" s="9"/>
    </row>
    <row r="126" spans="1:6" x14ac:dyDescent="0.25">
      <c r="A126" s="9"/>
      <c r="B126" s="9"/>
      <c r="C126" s="9"/>
      <c r="D126" s="9"/>
      <c r="E126" s="9"/>
      <c r="F126" s="9"/>
    </row>
    <row r="127" spans="1:6" x14ac:dyDescent="0.25">
      <c r="A127" s="9"/>
      <c r="B127" s="9"/>
      <c r="C127" s="9"/>
      <c r="D127" s="9"/>
      <c r="E127" s="9"/>
      <c r="F127" s="9"/>
    </row>
    <row r="128" spans="1:6" x14ac:dyDescent="0.25">
      <c r="A128" s="9"/>
      <c r="B128" s="9"/>
      <c r="C128" s="9"/>
      <c r="D128" s="9"/>
      <c r="E128" s="9"/>
      <c r="F128" s="9"/>
    </row>
    <row r="129" spans="1:6" x14ac:dyDescent="0.25">
      <c r="A129" s="9"/>
      <c r="B129" s="9"/>
      <c r="C129" s="9"/>
      <c r="D129" s="9"/>
      <c r="E129" s="9"/>
      <c r="F129" s="9"/>
    </row>
    <row r="130" spans="1:6" x14ac:dyDescent="0.25">
      <c r="A130" s="9"/>
      <c r="B130" s="9"/>
      <c r="C130" s="9"/>
      <c r="D130" s="9"/>
      <c r="E130" s="9"/>
      <c r="F130" s="9"/>
    </row>
    <row r="131" spans="1:6" x14ac:dyDescent="0.25">
      <c r="A131" s="9"/>
      <c r="B131" s="9"/>
      <c r="C131" s="9"/>
      <c r="D131" s="9"/>
      <c r="E131" s="9"/>
      <c r="F131" s="9"/>
    </row>
    <row r="132" spans="1:6" x14ac:dyDescent="0.25">
      <c r="A132" s="9"/>
      <c r="B132" s="9"/>
      <c r="C132" s="9"/>
      <c r="D132" s="9"/>
      <c r="E132" s="9"/>
      <c r="F132" s="9"/>
    </row>
    <row r="133" spans="1:6" x14ac:dyDescent="0.25">
      <c r="A133" s="9"/>
      <c r="B133" s="9"/>
      <c r="C133" s="9"/>
      <c r="D133" s="9"/>
      <c r="E133" s="9"/>
      <c r="F133" s="9"/>
    </row>
    <row r="134" spans="1:6" x14ac:dyDescent="0.25">
      <c r="A134" s="9"/>
      <c r="B134" s="9"/>
      <c r="C134" s="9"/>
      <c r="D134" s="9"/>
      <c r="E134" s="9"/>
      <c r="F134" s="9"/>
    </row>
    <row r="135" spans="1:6" x14ac:dyDescent="0.25">
      <c r="A135" s="9"/>
      <c r="B135" s="9"/>
      <c r="C135" s="9"/>
      <c r="D135" s="9"/>
      <c r="E135" s="9"/>
      <c r="F135" s="9"/>
    </row>
    <row r="136" spans="1:6" x14ac:dyDescent="0.25">
      <c r="A136" s="9"/>
      <c r="B136" s="9"/>
      <c r="C136" s="9"/>
      <c r="D136" s="9"/>
      <c r="E136" s="9"/>
      <c r="F136" s="9"/>
    </row>
    <row r="137" spans="1:6" x14ac:dyDescent="0.25">
      <c r="A137" s="9"/>
      <c r="B137" s="9"/>
      <c r="C137" s="9"/>
      <c r="D137" s="9"/>
      <c r="E137" s="9"/>
      <c r="F137" s="9"/>
    </row>
    <row r="138" spans="1:6" x14ac:dyDescent="0.25">
      <c r="A138" s="9"/>
      <c r="B138" s="9"/>
      <c r="C138" s="9"/>
      <c r="D138" s="9"/>
      <c r="E138" s="9"/>
      <c r="F138" s="9"/>
    </row>
    <row r="139" spans="1:6" x14ac:dyDescent="0.25">
      <c r="A139" s="9"/>
      <c r="B139" s="9"/>
      <c r="C139" s="9"/>
      <c r="D139" s="9"/>
      <c r="E139" s="9"/>
      <c r="F139" s="9"/>
    </row>
    <row r="140" spans="1:6" x14ac:dyDescent="0.25">
      <c r="A140" s="9"/>
      <c r="B140" s="9"/>
      <c r="C140" s="9"/>
      <c r="D140" s="9"/>
      <c r="E140" s="9"/>
      <c r="F140" s="9"/>
    </row>
    <row r="141" spans="1:6" x14ac:dyDescent="0.25">
      <c r="A141" s="9"/>
      <c r="B141" s="9"/>
      <c r="C141" s="9"/>
      <c r="D141" s="9"/>
      <c r="E141" s="9"/>
      <c r="F141" s="9"/>
    </row>
  </sheetData>
  <autoFilter ref="A4:F99" xr:uid="{00000000-0009-0000-0000-000001000000}"/>
  <mergeCells count="9">
    <mergeCell ref="A1:F1"/>
    <mergeCell ref="A5:F5"/>
    <mergeCell ref="A32:F32"/>
    <mergeCell ref="A21:F21"/>
    <mergeCell ref="A2:F2"/>
    <mergeCell ref="A71:F71"/>
    <mergeCell ref="A10:F10"/>
    <mergeCell ref="A28:F28"/>
    <mergeCell ref="A76:F76"/>
  </mergeCells>
  <hyperlinks>
    <hyperlink ref="C11" r:id="rId1" xr:uid="{00000000-0004-0000-0100-000000000000}"/>
    <hyperlink ref="C12" r:id="rId2" xr:uid="{00000000-0004-0000-0100-000001000000}"/>
    <hyperlink ref="C13" r:id="rId3" xr:uid="{00000000-0004-0000-0100-000002000000}"/>
    <hyperlink ref="C14" r:id="rId4" xr:uid="{00000000-0004-0000-0100-000003000000}"/>
    <hyperlink ref="C15" r:id="rId5" xr:uid="{00000000-0004-0000-0100-000004000000}"/>
    <hyperlink ref="C16" r:id="rId6" xr:uid="{00000000-0004-0000-0100-000005000000}"/>
    <hyperlink ref="C17" r:id="rId7" xr:uid="{00000000-0004-0000-0100-000006000000}"/>
    <hyperlink ref="C18" r:id="rId8" xr:uid="{00000000-0004-0000-0100-000007000000}"/>
    <hyperlink ref="C19" r:id="rId9" xr:uid="{00000000-0004-0000-0100-000008000000}"/>
    <hyperlink ref="C20" r:id="rId10" xr:uid="{00000000-0004-0000-0100-000009000000}"/>
    <hyperlink ref="C22" r:id="rId11" xr:uid="{00000000-0004-0000-0100-00000A000000}"/>
    <hyperlink ref="C23" r:id="rId12" xr:uid="{00000000-0004-0000-0100-00000B000000}"/>
    <hyperlink ref="C24" r:id="rId13" xr:uid="{00000000-0004-0000-0100-00000C000000}"/>
    <hyperlink ref="C25" r:id="rId14" xr:uid="{00000000-0004-0000-0100-00000D000000}"/>
    <hyperlink ref="C26" r:id="rId15" xr:uid="{00000000-0004-0000-0100-00000E000000}"/>
    <hyperlink ref="C27" r:id="rId16" xr:uid="{00000000-0004-0000-0100-00000F000000}"/>
    <hyperlink ref="C29" r:id="rId17" xr:uid="{00000000-0004-0000-0100-000010000000}"/>
    <hyperlink ref="C30" r:id="rId18" xr:uid="{00000000-0004-0000-0100-000011000000}"/>
    <hyperlink ref="C31" r:id="rId19" xr:uid="{00000000-0004-0000-0100-000012000000}"/>
    <hyperlink ref="C33" r:id="rId20" xr:uid="{00000000-0004-0000-0100-000013000000}"/>
    <hyperlink ref="C34" r:id="rId21" xr:uid="{00000000-0004-0000-0100-000014000000}"/>
    <hyperlink ref="C35" r:id="rId22" xr:uid="{00000000-0004-0000-0100-000015000000}"/>
    <hyperlink ref="C36" r:id="rId23" xr:uid="{00000000-0004-0000-0100-000016000000}"/>
    <hyperlink ref="C37" r:id="rId24" xr:uid="{00000000-0004-0000-0100-000017000000}"/>
    <hyperlink ref="C38" r:id="rId25" xr:uid="{00000000-0004-0000-0100-000018000000}"/>
    <hyperlink ref="C39" r:id="rId26" xr:uid="{00000000-0004-0000-0100-000019000000}"/>
    <hyperlink ref="C40" r:id="rId27" xr:uid="{00000000-0004-0000-0100-00001A000000}"/>
    <hyperlink ref="C41" r:id="rId28" xr:uid="{00000000-0004-0000-0100-00001B000000}"/>
    <hyperlink ref="C42" r:id="rId29" xr:uid="{00000000-0004-0000-0100-00001C000000}"/>
    <hyperlink ref="C43" r:id="rId30" xr:uid="{00000000-0004-0000-0100-00001D000000}"/>
    <hyperlink ref="C44" r:id="rId31" xr:uid="{00000000-0004-0000-0100-00001E000000}"/>
    <hyperlink ref="C45" r:id="rId32" xr:uid="{00000000-0004-0000-0100-00001F000000}"/>
    <hyperlink ref="C46" r:id="rId33" xr:uid="{00000000-0004-0000-0100-000020000000}"/>
    <hyperlink ref="C47" r:id="rId34" xr:uid="{00000000-0004-0000-0100-000021000000}"/>
    <hyperlink ref="C48" r:id="rId35" xr:uid="{00000000-0004-0000-0100-000022000000}"/>
    <hyperlink ref="C49" r:id="rId36" xr:uid="{00000000-0004-0000-0100-000023000000}"/>
    <hyperlink ref="C50" r:id="rId37" xr:uid="{00000000-0004-0000-0100-000024000000}"/>
    <hyperlink ref="C51" r:id="rId38" xr:uid="{00000000-0004-0000-0100-000025000000}"/>
    <hyperlink ref="C52" r:id="rId39" xr:uid="{00000000-0004-0000-0100-000026000000}"/>
    <hyperlink ref="C53" r:id="rId40" xr:uid="{00000000-0004-0000-0100-000027000000}"/>
    <hyperlink ref="C54" r:id="rId41" xr:uid="{00000000-0004-0000-0100-000028000000}"/>
    <hyperlink ref="C55" r:id="rId42" xr:uid="{00000000-0004-0000-0100-000029000000}"/>
    <hyperlink ref="C56" r:id="rId43" xr:uid="{00000000-0004-0000-0100-00002A000000}"/>
    <hyperlink ref="C57" r:id="rId44" xr:uid="{00000000-0004-0000-0100-00002B000000}"/>
    <hyperlink ref="C58" r:id="rId45" xr:uid="{00000000-0004-0000-0100-00002C000000}"/>
    <hyperlink ref="C59" r:id="rId46" xr:uid="{00000000-0004-0000-0100-00002D000000}"/>
    <hyperlink ref="C60" r:id="rId47" xr:uid="{00000000-0004-0000-0100-00002E000000}"/>
    <hyperlink ref="C61" r:id="rId48" xr:uid="{00000000-0004-0000-0100-00002F000000}"/>
    <hyperlink ref="C62" r:id="rId49" xr:uid="{00000000-0004-0000-0100-000030000000}"/>
    <hyperlink ref="C63" r:id="rId50" xr:uid="{00000000-0004-0000-0100-000031000000}"/>
    <hyperlink ref="C64" r:id="rId51" xr:uid="{00000000-0004-0000-0100-000032000000}"/>
    <hyperlink ref="C65" r:id="rId52" xr:uid="{00000000-0004-0000-0100-000033000000}"/>
    <hyperlink ref="C66" r:id="rId53" xr:uid="{00000000-0004-0000-0100-000034000000}"/>
    <hyperlink ref="C67" r:id="rId54" xr:uid="{00000000-0004-0000-0100-000035000000}"/>
    <hyperlink ref="C68" r:id="rId55" xr:uid="{00000000-0004-0000-0100-000036000000}"/>
    <hyperlink ref="C69" r:id="rId56" xr:uid="{00000000-0004-0000-0100-000037000000}"/>
    <hyperlink ref="C70" r:id="rId57" xr:uid="{00000000-0004-0000-0100-000038000000}"/>
    <hyperlink ref="C72" r:id="rId58" xr:uid="{00000000-0004-0000-0100-000039000000}"/>
    <hyperlink ref="C73" r:id="rId59" xr:uid="{00000000-0004-0000-0100-00003A000000}"/>
    <hyperlink ref="C74" r:id="rId60" xr:uid="{00000000-0004-0000-0100-00003B000000}"/>
    <hyperlink ref="C75" r:id="rId61" xr:uid="{00000000-0004-0000-0100-00003C000000}"/>
    <hyperlink ref="C77" r:id="rId62" xr:uid="{00000000-0004-0000-0100-00003D000000}"/>
    <hyperlink ref="C78" r:id="rId63" xr:uid="{00000000-0004-0000-0100-00003E000000}"/>
    <hyperlink ref="C79" r:id="rId64" xr:uid="{00000000-0004-0000-0100-00003F000000}"/>
    <hyperlink ref="C80" r:id="rId65" xr:uid="{00000000-0004-0000-0100-000040000000}"/>
    <hyperlink ref="C81" r:id="rId66" xr:uid="{00000000-0004-0000-0100-000041000000}"/>
    <hyperlink ref="C82" r:id="rId67" xr:uid="{00000000-0004-0000-0100-000042000000}"/>
    <hyperlink ref="C83" r:id="rId68" xr:uid="{00000000-0004-0000-0100-000043000000}"/>
    <hyperlink ref="C84" r:id="rId69" xr:uid="{00000000-0004-0000-0100-000044000000}"/>
    <hyperlink ref="C85" r:id="rId70" xr:uid="{00000000-0004-0000-0100-000045000000}"/>
    <hyperlink ref="C86" r:id="rId71" xr:uid="{00000000-0004-0000-0100-000046000000}"/>
    <hyperlink ref="C87" r:id="rId72" xr:uid="{00000000-0004-0000-0100-000047000000}"/>
    <hyperlink ref="C88" r:id="rId73" xr:uid="{00000000-0004-0000-0100-000048000000}"/>
    <hyperlink ref="C89" r:id="rId74" xr:uid="{00000000-0004-0000-0100-000049000000}"/>
    <hyperlink ref="C90" r:id="rId75" xr:uid="{00000000-0004-0000-0100-00004A000000}"/>
    <hyperlink ref="C91" r:id="rId76" xr:uid="{00000000-0004-0000-0100-00004B000000}"/>
    <hyperlink ref="C92" r:id="rId77" xr:uid="{00000000-0004-0000-0100-00004C000000}"/>
    <hyperlink ref="C93" r:id="rId78" xr:uid="{00000000-0004-0000-0100-00004D000000}"/>
    <hyperlink ref="C94" r:id="rId79" xr:uid="{00000000-0004-0000-0100-00004E000000}"/>
    <hyperlink ref="C95" r:id="rId80" xr:uid="{00000000-0004-0000-0100-00004F000000}"/>
    <hyperlink ref="C96" r:id="rId81" xr:uid="{00000000-0004-0000-0100-000050000000}"/>
    <hyperlink ref="C97" r:id="rId82" xr:uid="{00000000-0004-0000-0100-000051000000}"/>
    <hyperlink ref="C98" r:id="rId83" xr:uid="{00000000-0004-0000-0100-000052000000}"/>
    <hyperlink ref="C99" r:id="rId84" xr:uid="{00000000-0004-0000-0100-000053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tabSelected="1" workbookViewId="0">
      <pane ySplit="4" topLeftCell="A5" activePane="bottomLeft" state="frozen"/>
      <selection pane="bottomLeft" sqref="A1:F1"/>
    </sheetView>
  </sheetViews>
  <sheetFormatPr defaultRowHeight="15" x14ac:dyDescent="0.25"/>
  <cols>
    <col min="1" max="1" width="5" customWidth="1"/>
    <col min="2" max="2" width="14" customWidth="1"/>
    <col min="3" max="3" width="24" customWidth="1"/>
    <col min="4" max="4" width="34" customWidth="1"/>
    <col min="5" max="5" width="90" customWidth="1"/>
    <col min="6" max="6" width="12" customWidth="1"/>
  </cols>
  <sheetData>
    <row r="1" spans="1:6" ht="20.25" customHeight="1" x14ac:dyDescent="0.3">
      <c r="A1" s="18" t="s">
        <v>277</v>
      </c>
      <c r="B1" s="14"/>
      <c r="C1" s="14"/>
      <c r="D1" s="14"/>
      <c r="E1" s="14"/>
      <c r="F1" s="14"/>
    </row>
    <row r="2" spans="1:6" x14ac:dyDescent="0.25">
      <c r="A2" s="13" t="s">
        <v>278</v>
      </c>
      <c r="B2" s="14"/>
      <c r="C2" s="14"/>
      <c r="D2" s="14"/>
      <c r="E2" s="14"/>
      <c r="F2" s="14"/>
    </row>
    <row r="4" spans="1:6" x14ac:dyDescent="0.25">
      <c r="A4" s="1" t="s">
        <v>2</v>
      </c>
      <c r="B4" s="1" t="s">
        <v>279</v>
      </c>
      <c r="C4" s="1" t="s">
        <v>280</v>
      </c>
      <c r="D4" s="1" t="s">
        <v>281</v>
      </c>
      <c r="E4" s="1" t="s">
        <v>282</v>
      </c>
      <c r="F4" s="1" t="s">
        <v>7</v>
      </c>
    </row>
    <row r="5" spans="1:6" ht="51" customHeight="1" x14ac:dyDescent="0.25">
      <c r="A5" s="6">
        <v>1</v>
      </c>
      <c r="B5" s="7" t="s">
        <v>283</v>
      </c>
      <c r="C5" s="7" t="s">
        <v>284</v>
      </c>
      <c r="D5" s="7" t="s">
        <v>285</v>
      </c>
      <c r="E5" s="7" t="s">
        <v>286</v>
      </c>
      <c r="F5" s="6" t="s">
        <v>13</v>
      </c>
    </row>
    <row r="6" spans="1:6" ht="38.25" customHeight="1" x14ac:dyDescent="0.25">
      <c r="A6" s="6">
        <v>2</v>
      </c>
      <c r="B6" s="7" t="s">
        <v>283</v>
      </c>
      <c r="C6" s="7" t="s">
        <v>287</v>
      </c>
      <c r="D6" s="7" t="s">
        <v>288</v>
      </c>
      <c r="E6" s="7" t="s">
        <v>289</v>
      </c>
      <c r="F6" s="6" t="s">
        <v>13</v>
      </c>
    </row>
    <row r="7" spans="1:6" ht="51" customHeight="1" x14ac:dyDescent="0.25">
      <c r="A7" s="6">
        <v>3</v>
      </c>
      <c r="B7" s="7" t="s">
        <v>283</v>
      </c>
      <c r="C7" s="7" t="s">
        <v>290</v>
      </c>
      <c r="D7" s="7" t="s">
        <v>291</v>
      </c>
      <c r="E7" s="7" t="s">
        <v>292</v>
      </c>
      <c r="F7" s="6" t="s">
        <v>13</v>
      </c>
    </row>
    <row r="8" spans="1:6" ht="63.75" customHeight="1" x14ac:dyDescent="0.25">
      <c r="A8" s="6">
        <v>4</v>
      </c>
      <c r="B8" s="7" t="s">
        <v>283</v>
      </c>
      <c r="C8" s="7" t="s">
        <v>293</v>
      </c>
      <c r="D8" s="7" t="s">
        <v>294</v>
      </c>
      <c r="E8" s="7" t="s">
        <v>295</v>
      </c>
      <c r="F8" s="6" t="s">
        <v>13</v>
      </c>
    </row>
    <row r="9" spans="1:6" ht="25.5" customHeight="1" x14ac:dyDescent="0.25">
      <c r="A9" s="6">
        <v>5</v>
      </c>
      <c r="B9" s="7" t="s">
        <v>283</v>
      </c>
      <c r="C9" s="7" t="s">
        <v>296</v>
      </c>
      <c r="D9" s="7" t="s">
        <v>297</v>
      </c>
      <c r="E9" s="7" t="s">
        <v>298</v>
      </c>
      <c r="F9" s="6" t="s">
        <v>13</v>
      </c>
    </row>
    <row r="10" spans="1:6" ht="25.5" customHeight="1" x14ac:dyDescent="0.25">
      <c r="A10" s="6">
        <v>6</v>
      </c>
      <c r="B10" s="7" t="s">
        <v>283</v>
      </c>
      <c r="C10" s="7" t="s">
        <v>299</v>
      </c>
      <c r="D10" s="7" t="s">
        <v>300</v>
      </c>
      <c r="E10" s="7" t="s">
        <v>301</v>
      </c>
      <c r="F10" s="6" t="s">
        <v>13</v>
      </c>
    </row>
    <row r="11" spans="1:6" x14ac:dyDescent="0.25">
      <c r="A11" s="6">
        <v>7</v>
      </c>
      <c r="B11" s="7" t="s">
        <v>302</v>
      </c>
      <c r="C11" s="7" t="s">
        <v>303</v>
      </c>
      <c r="D11" s="7" t="s">
        <v>304</v>
      </c>
      <c r="E11" s="7" t="s">
        <v>305</v>
      </c>
      <c r="F11" s="6" t="s">
        <v>13</v>
      </c>
    </row>
    <row r="12" spans="1:6" ht="38.25" customHeight="1" x14ac:dyDescent="0.25">
      <c r="A12" s="6">
        <v>8</v>
      </c>
      <c r="B12" s="7" t="s">
        <v>302</v>
      </c>
      <c r="C12" s="7" t="s">
        <v>306</v>
      </c>
      <c r="D12" s="7" t="s">
        <v>307</v>
      </c>
      <c r="E12" s="7" t="s">
        <v>308</v>
      </c>
      <c r="F12" s="6" t="s">
        <v>13</v>
      </c>
    </row>
    <row r="13" spans="1:6" ht="25.5" customHeight="1" x14ac:dyDescent="0.25">
      <c r="A13" s="6">
        <v>9</v>
      </c>
      <c r="B13" s="7" t="s">
        <v>302</v>
      </c>
      <c r="C13" s="7" t="s">
        <v>309</v>
      </c>
      <c r="D13" s="7" t="s">
        <v>310</v>
      </c>
      <c r="E13" s="7" t="s">
        <v>311</v>
      </c>
      <c r="F13" s="6" t="s">
        <v>13</v>
      </c>
    </row>
    <row r="14" spans="1:6" x14ac:dyDescent="0.25">
      <c r="A14" s="6">
        <v>10</v>
      </c>
      <c r="B14" s="7" t="s">
        <v>302</v>
      </c>
      <c r="C14" s="7" t="s">
        <v>312</v>
      </c>
      <c r="D14" s="7" t="s">
        <v>313</v>
      </c>
      <c r="E14" s="7" t="s">
        <v>314</v>
      </c>
      <c r="F14" s="6" t="s">
        <v>13</v>
      </c>
    </row>
    <row r="15" spans="1:6" x14ac:dyDescent="0.25">
      <c r="A15" s="9"/>
      <c r="B15" s="9"/>
      <c r="C15" s="9"/>
      <c r="D15" s="9"/>
      <c r="E15" s="9"/>
      <c r="F15" s="9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Scope</vt:lpstr>
      <vt:lpstr>After Delivery</vt:lpstr>
      <vt:lpstr>Integrations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Jafri</cp:lastModifiedBy>
  <dcterms:created xsi:type="dcterms:W3CDTF">2026-10-26T06:44:18Z</dcterms:created>
  <dcterms:modified xsi:type="dcterms:W3CDTF">2026-10-26T06:51:25Z</dcterms:modified>
</cp:coreProperties>
</file>